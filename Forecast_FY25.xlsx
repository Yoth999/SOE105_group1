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SOE105_project\SOE105_group1\"/>
    </mc:Choice>
  </mc:AlternateContent>
  <xr:revisionPtr revIDLastSave="0" documentId="13_ncr:1_{A1EEF9AD-6623-47F4-AFE0-14B4A255D822}" xr6:coauthVersionLast="47" xr6:coauthVersionMax="47" xr10:uidLastSave="{00000000-0000-0000-0000-000000000000}"/>
  <bookViews>
    <workbookView xWindow="3075" yWindow="3075" windowWidth="28800" windowHeight="15885" activeTab="1" xr2:uid="{00000000-000D-0000-FFFF-FFFF00000000}"/>
  </bookViews>
  <sheets>
    <sheet name="Accuracy" sheetId="1" r:id="rId1"/>
    <sheet name="FY25 Revenue" sheetId="2" r:id="rId2"/>
    <sheet name="FY25 Units" sheetId="3" r:id="rId3"/>
    <sheet name="Backtest FY24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J19" i="2"/>
  <c r="K19" i="2"/>
  <c r="L19" i="2"/>
  <c r="H19" i="2"/>
  <c r="C17" i="2"/>
  <c r="D17" i="2"/>
  <c r="E17" i="2"/>
  <c r="F17" i="2"/>
  <c r="G17" i="2"/>
  <c r="J17" i="2" s="1"/>
  <c r="B17" i="2"/>
  <c r="L6" i="2"/>
  <c r="L7" i="2"/>
  <c r="L8" i="2"/>
  <c r="L9" i="2"/>
  <c r="L10" i="2"/>
  <c r="L11" i="2"/>
  <c r="L12" i="2"/>
  <c r="L13" i="2"/>
  <c r="L14" i="2"/>
  <c r="L15" i="2"/>
  <c r="L16" i="2"/>
  <c r="L5" i="2"/>
  <c r="K6" i="2"/>
  <c r="K7" i="2"/>
  <c r="K8" i="2"/>
  <c r="K9" i="2"/>
  <c r="K10" i="2"/>
  <c r="K11" i="2"/>
  <c r="K12" i="2"/>
  <c r="K13" i="2"/>
  <c r="K14" i="2"/>
  <c r="K15" i="2"/>
  <c r="K16" i="2"/>
  <c r="K5" i="2"/>
  <c r="J6" i="2"/>
  <c r="J7" i="2"/>
  <c r="J8" i="2"/>
  <c r="J9" i="2"/>
  <c r="J10" i="2"/>
  <c r="J11" i="2"/>
  <c r="J12" i="2"/>
  <c r="J13" i="2"/>
  <c r="J14" i="2"/>
  <c r="J15" i="2"/>
  <c r="J16" i="2"/>
  <c r="J5" i="2"/>
  <c r="I5" i="2"/>
  <c r="I6" i="2"/>
  <c r="I7" i="2"/>
  <c r="I8" i="2"/>
  <c r="I9" i="2"/>
  <c r="I10" i="2"/>
  <c r="I11" i="2"/>
  <c r="I12" i="2"/>
  <c r="I13" i="2"/>
  <c r="I14" i="2"/>
  <c r="I15" i="2"/>
  <c r="I16" i="2"/>
  <c r="I17" i="3"/>
  <c r="I5" i="3"/>
  <c r="I6" i="3"/>
  <c r="I7" i="3"/>
  <c r="I8" i="3"/>
  <c r="I9" i="3"/>
  <c r="I10" i="3"/>
  <c r="I11" i="3"/>
  <c r="I12" i="3"/>
  <c r="I13" i="3"/>
  <c r="I14" i="3"/>
  <c r="I15" i="3"/>
  <c r="I16" i="3"/>
  <c r="H5" i="2"/>
  <c r="H6" i="2"/>
  <c r="H7" i="2"/>
  <c r="H8" i="2"/>
  <c r="H9" i="2"/>
  <c r="H10" i="2"/>
  <c r="H11" i="2"/>
  <c r="H12" i="2"/>
  <c r="H13" i="2"/>
  <c r="H14" i="2"/>
  <c r="H15" i="2"/>
  <c r="H16" i="2"/>
  <c r="H5" i="3"/>
  <c r="H6" i="3"/>
  <c r="H7" i="3"/>
  <c r="H8" i="3"/>
  <c r="H9" i="3"/>
  <c r="H10" i="3"/>
  <c r="H11" i="3"/>
  <c r="H12" i="3"/>
  <c r="H13" i="3"/>
  <c r="H14" i="3"/>
  <c r="H15" i="3"/>
  <c r="H16" i="3"/>
  <c r="C17" i="3"/>
  <c r="D17" i="3"/>
  <c r="E17" i="3"/>
  <c r="F17" i="3"/>
  <c r="J17" i="3" s="1"/>
  <c r="G17" i="3"/>
  <c r="B17" i="3"/>
  <c r="H17" i="2" l="1"/>
  <c r="I17" i="2"/>
  <c r="L17" i="2"/>
  <c r="K17" i="2"/>
</calcChain>
</file>

<file path=xl/sharedStrings.xml><?xml version="1.0" encoding="utf-8"?>
<sst xmlns="http://schemas.openxmlformats.org/spreadsheetml/2006/main" count="110" uniqueCount="58">
  <si>
    <t>FY25 forecast — model scorecard</t>
  </si>
  <si>
    <t>Every model was trained on Apr 2021 – Mar 2024 only, then asked to predict Apr 2024 – Mar 2025, a year it had never seen. "Off %" is the average monthly error on that hold-out year — lower is better.</t>
  </si>
  <si>
    <t>Model</t>
  </si>
  <si>
    <t>Off % (revenue)</t>
  </si>
  <si>
    <t>FY25 revenue (baht)</t>
  </si>
  <si>
    <t>Off % (units)</t>
  </si>
  <si>
    <t>FY25 units</t>
  </si>
  <si>
    <t>Ensemble</t>
  </si>
  <si>
    <t>SARIMA</t>
  </si>
  <si>
    <t>XGBoost</t>
  </si>
  <si>
    <t>LSTM</t>
  </si>
  <si>
    <t>LightGBM</t>
  </si>
  <si>
    <t>FY24 actual: 2,453,600,000 baht · 182,315 units</t>
  </si>
  <si>
    <t>Ensemble is not a trained model: it is the plain average of the four above.</t>
  </si>
  <si>
    <t>Source: Sale Order History.xlsx, Billed/Closed lines only, de-duplicated.</t>
  </si>
  <si>
    <t>FY25 forecast — revenue in baht</t>
  </si>
  <si>
    <t>Apr 2025 – Mar 2026, projected from 209 weeks of real sales-order history (Apr 2021 – Mar 2025). One column per model.</t>
  </si>
  <si>
    <t>Month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</si>
  <si>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</si>
  <si>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</si>
  <si>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</si>
  <si>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</si>
  <si>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</si>
  <si>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</si>
  <si>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</si>
  <si>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</si>
  <si>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</si>
  <si>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</si>
  <si>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</si>
  <si>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</si>
  <si>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FY25 total</t>
  </si>
  <si>
    <t>FY25 forecast — units shipped</t>
  </si>
  <si>
    <t>Backtest — predicted vs actual, Apr 2024 – Mar 2025</t>
  </si>
  <si>
    <t>Revenue (baht)</t>
  </si>
  <si>
    <t>Actual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</si>
  <si>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</si>
  <si>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</si>
  <si>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</si>
  <si>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</si>
  <si>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</si>
  <si>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</si>
  <si>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</si>
  <si>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</si>
  <si>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</si>
  <si>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</si>
  <si>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</si>
  <si>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</si>
  <si>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Units shipped</t>
  </si>
  <si>
    <t>actual</t>
  </si>
  <si>
    <t>MAPE</t>
  </si>
  <si>
    <t>RMSE</t>
  </si>
  <si>
    <t>count</t>
  </si>
  <si>
    <t>sarima mape</t>
  </si>
  <si>
    <t>xgboost mape</t>
  </si>
  <si>
    <t>LSTM mape</t>
  </si>
  <si>
    <t>Lightgbm mape</t>
  </si>
  <si>
    <t>average MAPE</t>
  </si>
  <si>
    <t>LSTM performs better in overall error because the january anomaly prediction is higher, but in other months it performed similar or worse than 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</si>
</sst>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* #,##0.000_-;\-* #,##0.000_-;_-* &quot;-&quot;??_-;_-@_-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i/>
      <sz val="9"/>
      <color rgb="FF5A6068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262B"/>
      </patternFill>
    </fill>
    <fill>
      <patternFill patternType="solid">
        <fgColor rgb="FF22262B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BFC5CC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164" fontId="5" fillId="0" borderId="0" xfId="0" applyNumberFormat="1" applyFont="1"/>
    <xf numFmtId="3" fontId="5" fillId="0" borderId="0" xfId="0" applyNumberFormat="1" applyFont="1"/>
    <xf numFmtId="0" fontId="2" fillId="0" borderId="0" xfId="0" applyFont="1"/>
    <xf numFmtId="0" fontId="4" fillId="0" borderId="1" xfId="0" applyFont="1" applyBorder="1"/>
    <xf numFmtId="165" fontId="0" fillId="0" borderId="0" xfId="1" applyNumberFormat="1" applyFont="1"/>
    <xf numFmtId="165" fontId="0" fillId="0" borderId="0" xfId="0" applyNumberFormat="1"/>
    <xf numFmtId="3" fontId="0" fillId="0" borderId="1" xfId="0" applyNumberFormat="1" applyBorder="1"/>
    <xf numFmtId="43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3" fontId="5" fillId="0" borderId="0" xfId="1" applyNumberFormat="1" applyFont="1"/>
    <xf numFmtId="166" fontId="0" fillId="0" borderId="0" xfId="0" applyNumberFormat="1"/>
    <xf numFmtId="4" fontId="5" fillId="0" borderId="0" xfId="0" applyNumberFormat="1" applyFont="1"/>
    <xf numFmtId="0" fontId="2" fillId="0" borderId="0" xfId="0" applyFont="1" applyAlignment="1">
      <alignment wrapText="1"/>
    </xf>
    <xf numFmtId="0" fontId="0" fillId="0" borderId="0" xfId="0"/>
  </cellXfs>
  <cellStyles count="2">
    <cellStyle name="Comma" xfId="1" builtinId="3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22262B"/>
        </patternFill>
      </fill>
      <alignment horizontal="center" vertical="center" textRotation="0" wrapText="1" indent="0" justifyLastLine="0" shrinkToFit="0" readingOrder="0"/>
    </dxf>
    <dxf>
      <numFmt numFmtId="166" formatCode="_-* #,##0.000_-;\-* #,##0.000_-;_-* &quot;-&quot;??_-;_-@_-"/>
    </dxf>
    <dxf>
      <numFmt numFmtId="166" formatCode="_-* #,##0.000_-;\-* #,##0.000_-;_-* &quot;-&quot;??_-;_-@_-"/>
    </dxf>
    <dxf>
      <numFmt numFmtId="166" formatCode="_-* #,##0.000_-;\-* #,##0.000_-;_-* &quot;-&quot;??_-;_-@_-"/>
    </dxf>
    <dxf>
      <numFmt numFmtId="166" formatCode="_-* #,##0.000_-;\-* #,##0.000_-;_-* &quot;-&quot;??_-;_-@_-"/>
    </dxf>
    <dxf>
      <numFmt numFmtId="166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/TNIC%20Data_2025.xlsx" TargetMode="External"/><Relationship Id="rId2" Type="http://schemas.openxmlformats.org/officeDocument/2006/relationships/externalLinkPath" Target="file:///G:\Download\TNIC%20Data_2025.xlsx" TargetMode="External"/><Relationship Id="rId1" Type="http://schemas.openxmlformats.org/officeDocument/2006/relationships/externalLinkPath" Target="/Download/TNIC%20Data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Y25 - Sale Order History"/>
      <sheetName val="Sheet1"/>
      <sheetName val="Company"/>
      <sheetName val="Item"/>
      <sheetName val="TNIC Data_2025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EFB933-7F1F-4F0B-808C-0AC9EFDD6A3F}" name="Table3" displayName="Table3" ref="A4:L17" totalsRowShown="0">
  <autoFilter ref="A4:L17" xr:uid="{E7EFB933-7F1F-4F0B-808C-0AC9EFDD6A3F}"/>
  <tableColumns count="12">
    <tableColumn id="1" xr3:uid="{04E9AC21-814B-48D0-B780-28C931EC7EB9}" name="Month" dataDxfId="23"/>
    <tableColumn id="2" xr3:uid="{4461772F-27CA-47C8-9FB5-FF3F3510B47B}" name="Ensemble" dataDxfId="22"/>
    <tableColumn id="3" xr3:uid="{828E4614-3DF5-47C4-B434-4FD6545CC09F}" name="SARIMA" dataDxfId="21"/>
    <tableColumn id="4" xr3:uid="{8DEE1DAE-411E-4EB5-8ADF-FC969F0ABF13}" name="XGBoost" dataDxfId="20"/>
    <tableColumn id="5" xr3:uid="{9F86A9B8-C9CB-4865-AA77-DE24E7C51B16}" name="LSTM" dataDxfId="19"/>
    <tableColumn id="6" xr3:uid="{1EFA9FD5-3424-48EE-B341-EC3E2FCE0F80}" name="LightGBM" dataDxfId="18"/>
    <tableColumn id="7" xr3:uid="{FAE86ABC-C367-465E-AAE2-9E4B2D9BC383}" name="actual" dataDxfId="17" dataCellStyle="Comma"/>
    <tableColumn id="18" xr3:uid="{B50E4B5D-655C-4889-998B-3AE25AF170B6}" name="MAPE" dataDxfId="16">
      <calculatedColumnFormula>ABS(Table3[[#This Row],[actual]]-Table3[[#This Row],[Ensemble]])/Table3[[#This Row],[actual]]*100</calculatedColumnFormula>
    </tableColumn>
    <tableColumn id="19" xr3:uid="{72D0C9D3-777A-4EDD-9CB9-D289780316B7}" name="sarima mape" dataDxfId="15">
      <calculatedColumnFormula>ABS(Table3[[#This Row],[actual]]-Table3[[#This Row],[SARIMA]])/Table3[[#This Row],[actual]]*100</calculatedColumnFormula>
    </tableColumn>
    <tableColumn id="20" xr3:uid="{6A96006D-3A2E-471C-ACC7-BCBFEAD6C3BA}" name="xgboost mape" dataDxfId="14">
      <calculatedColumnFormula>ABS(Table3[[#This Row],[actual]]-Table3[[#This Row],[XGBoost]])/Table3[[#This Row],[actual]]*100</calculatedColumnFormula>
    </tableColumn>
    <tableColumn id="21" xr3:uid="{1FCCBC36-63B9-4B72-987C-8647A7A688B5}" name="LSTM mape" dataDxfId="13">
      <calculatedColumnFormula>ABS(Table3[[#This Row],[actual]]-Table3[[#This Row],[LSTM]])/Table3[[#This Row],[actual]]*100</calculatedColumnFormula>
    </tableColumn>
    <tableColumn id="22" xr3:uid="{FCCACA0E-5A1B-446E-890C-F2A47686BEF8}" name="Lightgbm mape" dataDxfId="12">
      <calculatedColumnFormula>ABS(Table3[[#This Row],[actual]]-Table3[[#This Row],[LightGBM]])/Table3[[#This Row],[actual]]*100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FB39D-051E-422E-A3D3-20719BDF3030}" name="Table1" displayName="Table1" ref="A4:J17" totalsRowShown="0" headerRowDxfId="11" dataDxfId="10">
  <autoFilter ref="A4:J17" xr:uid="{EC7FB39D-051E-422E-A3D3-20719BDF3030}"/>
  <tableColumns count="10">
    <tableColumn id="1" xr3:uid="{16E4805A-39AF-4DBC-862C-D04DFB64CF12}" name="Month" dataDxfId="9"/>
    <tableColumn id="2" xr3:uid="{ECBE8089-0945-47F0-8413-BA88466D106A}" name="Ensemble" dataDxfId="8"/>
    <tableColumn id="3" xr3:uid="{BB4F0D41-5AD1-4C52-8D2A-78CBF40C039B}" name="SARIMA" dataDxfId="7"/>
    <tableColumn id="4" xr3:uid="{A7C19236-0BCC-4EAD-87D6-E841E8D0CD5A}" name="XGBoost" dataDxfId="6"/>
    <tableColumn id="5" xr3:uid="{E1940DDE-E072-4D41-91FD-D2268DED70D8}" name="LSTM" dataDxfId="5"/>
    <tableColumn id="6" xr3:uid="{3B4E8595-EE0F-4488-8A34-BF95625D6A56}" name="LightGBM" dataDxfId="4"/>
    <tableColumn id="7" xr3:uid="{6C1C35D0-A960-4E78-9725-FA6DCD58B8C1}" name="actual" dataDxfId="3" dataCellStyle="Comma"/>
    <tableColumn id="8" xr3:uid="{8B5615D2-DB8F-4BB2-A340-FF1C2EDB3B5A}" name="RMSE" dataDxfId="2">
      <calculatedColumnFormula>ABS(Table1[[#This Row],[actual]]-Table1[[#This Row],[Ensemble]])/SQRT(Table1[[#This Row],[count]])</calculatedColumnFormula>
    </tableColumn>
    <tableColumn id="10" xr3:uid="{13DCE26D-E8C1-4DB3-AF22-157F044455AD}" name="MAPE" dataDxfId="1">
      <calculatedColumnFormula>ABS(Table1[[#This Row],[actual]]-Table1[[#This Row],[Ensemble]])/Table1[[#This Row],[actual]]*100</calculatedColumnFormula>
    </tableColumn>
    <tableColumn id="9" xr3:uid="{AB381150-858F-4884-B3F5-20DF4AA32CB6}" name="c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/>
  </sheetViews>
  <sheetFormatPr defaultRowHeight="15" x14ac:dyDescent="0.25"/>
  <cols>
    <col min="1" max="1" width="13" customWidth="1"/>
    <col min="2" max="2" width="15" customWidth="1"/>
    <col min="3" max="3" width="21" customWidth="1"/>
    <col min="4" max="4" width="14" customWidth="1"/>
    <col min="5" max="5" width="15" customWidth="1"/>
  </cols>
  <sheetData>
    <row r="1" spans="1:6" ht="15.75" x14ac:dyDescent="0.25">
      <c r="A1" s="1" t="s">
        <v>0</v>
      </c>
    </row>
    <row r="2" spans="1:6" ht="15" customHeight="1" x14ac:dyDescent="0.25">
      <c r="A2" s="16" t="s">
        <v>1</v>
      </c>
      <c r="B2" s="17"/>
      <c r="C2" s="17"/>
      <c r="D2" s="17"/>
      <c r="E2" s="17"/>
      <c r="F2" s="17"/>
    </row>
    <row r="3" spans="1:6" ht="15" customHeight="1" x14ac:dyDescent="0.25">
      <c r="A3" s="17"/>
      <c r="B3" s="17"/>
      <c r="C3" s="17"/>
      <c r="D3" s="17"/>
      <c r="E3" s="17"/>
      <c r="F3" s="17"/>
    </row>
    <row r="5" spans="1:6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6" x14ac:dyDescent="0.25">
      <c r="A6" s="3" t="s">
        <v>7</v>
      </c>
      <c r="B6" s="4">
        <v>0.123</v>
      </c>
      <c r="C6" s="5">
        <v>2460790000</v>
      </c>
      <c r="D6" s="4">
        <v>0.14000000000000001</v>
      </c>
      <c r="E6" s="5">
        <v>171400</v>
      </c>
    </row>
    <row r="7" spans="1:6" x14ac:dyDescent="0.25">
      <c r="A7" s="3" t="s">
        <v>8</v>
      </c>
      <c r="B7" s="4">
        <v>0.127</v>
      </c>
      <c r="C7" s="5">
        <v>2382760000</v>
      </c>
      <c r="D7" s="4">
        <v>0.14399999999999999</v>
      </c>
      <c r="E7" s="5">
        <v>178268</v>
      </c>
    </row>
    <row r="8" spans="1:6" x14ac:dyDescent="0.25">
      <c r="A8" s="3" t="s">
        <v>9</v>
      </c>
      <c r="B8" s="4">
        <v>0.14599999999999999</v>
      </c>
      <c r="C8" s="5">
        <v>2420390000</v>
      </c>
      <c r="D8" s="4">
        <v>0.17399999999999999</v>
      </c>
      <c r="E8" s="5">
        <v>173357</v>
      </c>
    </row>
    <row r="9" spans="1:6" x14ac:dyDescent="0.25">
      <c r="A9" s="3" t="s">
        <v>10</v>
      </c>
      <c r="B9" s="4">
        <v>0.152</v>
      </c>
      <c r="C9" s="5">
        <v>2666820000</v>
      </c>
      <c r="D9" s="4">
        <v>0.14499999999999999</v>
      </c>
      <c r="E9" s="5">
        <v>161285</v>
      </c>
    </row>
    <row r="10" spans="1:6" x14ac:dyDescent="0.25">
      <c r="A10" s="3" t="s">
        <v>11</v>
      </c>
      <c r="B10" s="4">
        <v>0.19</v>
      </c>
      <c r="C10" s="5">
        <v>2373210000</v>
      </c>
      <c r="D10" s="4">
        <v>0.218</v>
      </c>
      <c r="E10" s="5">
        <v>172689</v>
      </c>
    </row>
    <row r="12" spans="1:6" x14ac:dyDescent="0.25">
      <c r="A12" s="6" t="s">
        <v>12</v>
      </c>
    </row>
    <row r="13" spans="1:6" x14ac:dyDescent="0.25">
      <c r="A13" s="6" t="s">
        <v>13</v>
      </c>
    </row>
    <row r="14" spans="1:6" x14ac:dyDescent="0.25">
      <c r="A14" s="6" t="s">
        <v>14</v>
      </c>
    </row>
  </sheetData>
  <mergeCells count="1">
    <mergeCell ref="A2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O10" sqref="O10"/>
    </sheetView>
  </sheetViews>
  <sheetFormatPr defaultRowHeight="15" x14ac:dyDescent="0.25"/>
  <cols>
    <col min="1" max="1" width="13" customWidth="1"/>
    <col min="2" max="6" width="15" customWidth="1"/>
    <col min="7" max="7" width="17.7109375" customWidth="1"/>
    <col min="8" max="12" width="11.7109375" customWidth="1"/>
    <col min="13" max="13" width="11" customWidth="1"/>
    <col min="14" max="14" width="15.85546875" customWidth="1"/>
    <col min="15" max="15" width="11.5703125" bestFit="1" customWidth="1"/>
    <col min="16" max="16" width="11" customWidth="1"/>
    <col min="17" max="17" width="13.28515625" customWidth="1"/>
    <col min="18" max="18" width="14.42578125" customWidth="1"/>
  </cols>
  <sheetData>
    <row r="1" spans="1:15" ht="15.75" x14ac:dyDescent="0.25">
      <c r="A1" s="1" t="s">
        <v>15</v>
      </c>
    </row>
    <row r="2" spans="1:15" x14ac:dyDescent="0.25">
      <c r="A2" s="6" t="s">
        <v>16</v>
      </c>
    </row>
    <row r="4" spans="1:15" ht="25.5" x14ac:dyDescent="0.25">
      <c r="A4" s="2" t="s">
        <v>17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48</v>
      </c>
      <c r="H4" s="2" t="s">
        <v>49</v>
      </c>
      <c r="I4" s="2" t="s">
        <v>52</v>
      </c>
      <c r="J4" s="2" t="s">
        <v>53</v>
      </c>
      <c r="K4" s="2" t="s">
        <v>54</v>
      </c>
      <c r="L4" s="2" t="s">
        <v>55</v>
      </c>
    </row>
    <row r="5" spans="1:15" x14ac:dyDescent="0.25">
      <c r="A5" s="3" t="s">
        <v>18</v>
      </c>
      <c r="B5" s="5">
        <v>177350000</v>
      </c>
      <c r="C5" s="5">
        <v>183290000</v>
      </c>
      <c r="D5" s="5">
        <v>181120000</v>
      </c>
      <c r="E5" s="5">
        <v>181030000</v>
      </c>
      <c r="F5" s="5">
        <v>163970000</v>
      </c>
      <c r="G5" s="8">
        <v>213518921.5400005</v>
      </c>
      <c r="H5" s="14">
        <f>ABS(Table3[[#This Row],[actual]]-Table3[[#This Row],[Ensemble]])/Table3[[#This Row],[actual]]*100</f>
        <v>16.939445590645057</v>
      </c>
      <c r="I5" s="14">
        <f>ABS(Table3[[#This Row],[actual]]-Table3[[#This Row],[SARIMA]])/Table3[[#This Row],[actual]]*100</f>
        <v>14.157490737577294</v>
      </c>
      <c r="J5" s="14">
        <f>ABS(Table3[[#This Row],[actual]]-Table3[[#This Row],[XGBoost]])/Table3[[#This Row],[actual]]*100</f>
        <v>15.173794109825955</v>
      </c>
      <c r="K5" s="14">
        <f>ABS(Table3[[#This Row],[actual]]-Table3[[#This Row],[LSTM]])/Table3[[#This Row],[actual]]*100</f>
        <v>15.215944940933044</v>
      </c>
      <c r="L5" s="14">
        <f>ABS(Table3[[#This Row],[actual]]-Table3[[#This Row],[LightGBM]])/Table3[[#This Row],[actual]]*100</f>
        <v>23.20586914856538</v>
      </c>
      <c r="M5" s="9"/>
      <c r="N5" s="11"/>
      <c r="O5" s="9"/>
    </row>
    <row r="6" spans="1:15" x14ac:dyDescent="0.25">
      <c r="A6" s="3" t="s">
        <v>19</v>
      </c>
      <c r="B6" s="5">
        <v>190010000</v>
      </c>
      <c r="C6" s="5">
        <v>183290000</v>
      </c>
      <c r="D6" s="5">
        <v>192600000</v>
      </c>
      <c r="E6" s="5">
        <v>186370000</v>
      </c>
      <c r="F6" s="5">
        <v>197780000</v>
      </c>
      <c r="G6" s="8">
        <v>195339607.52999982</v>
      </c>
      <c r="H6" s="14">
        <f>ABS(Table3[[#This Row],[actual]]-Table3[[#This Row],[Ensemble]])/Table3[[#This Row],[actual]]*100</f>
        <v>2.7283803819362711</v>
      </c>
      <c r="I6" s="14">
        <f>ABS(Table3[[#This Row],[actual]]-Table3[[#This Row],[SARIMA]])/Table3[[#This Row],[actual]]*100</f>
        <v>6.1685429198731603</v>
      </c>
      <c r="J6" s="14">
        <f>ABS(Table3[[#This Row],[actual]]-Table3[[#This Row],[XGBoost]])/Table3[[#This Row],[actual]]*100</f>
        <v>1.4024844037730955</v>
      </c>
      <c r="K6" s="14">
        <f>ABS(Table3[[#This Row],[actual]]-Table3[[#This Row],[LSTM]])/Table3[[#This Row],[actual]]*100</f>
        <v>4.5918017566520861</v>
      </c>
      <c r="L6" s="14">
        <f>ABS(Table3[[#This Row],[actual]]-Table3[[#This Row],[LightGBM]])/Table3[[#This Row],[actual]]*100</f>
        <v>1.2493075525532564</v>
      </c>
      <c r="N6" s="11"/>
      <c r="O6" s="9"/>
    </row>
    <row r="7" spans="1:15" x14ac:dyDescent="0.25">
      <c r="A7" s="3" t="s">
        <v>20</v>
      </c>
      <c r="B7" s="5">
        <v>231060000</v>
      </c>
      <c r="C7" s="5">
        <v>229110000</v>
      </c>
      <c r="D7" s="5">
        <v>233040000</v>
      </c>
      <c r="E7" s="5">
        <v>227890000</v>
      </c>
      <c r="F7" s="5">
        <v>234200000</v>
      </c>
      <c r="G7" s="8">
        <v>305531849.18999964</v>
      </c>
      <c r="H7" s="14">
        <f>ABS(Table3[[#This Row],[actual]]-Table3[[#This Row],[Ensemble]])/Table3[[#This Row],[actual]]*100</f>
        <v>24.374496271807065</v>
      </c>
      <c r="I7" s="14">
        <f>ABS(Table3[[#This Row],[actual]]-Table3[[#This Row],[SARIMA]])/Table3[[#This Row],[actual]]*100</f>
        <v>25.012727606828168</v>
      </c>
      <c r="J7" s="14">
        <f>ABS(Table3[[#This Row],[actual]]-Table3[[#This Row],[XGBoost]])/Table3[[#This Row],[actual]]*100</f>
        <v>23.726445993170252</v>
      </c>
      <c r="K7" s="14">
        <f>ABS(Table3[[#This Row],[actual]]-Table3[[#This Row],[LSTM]])/Table3[[#This Row],[actual]]*100</f>
        <v>25.412031313867011</v>
      </c>
      <c r="L7" s="14">
        <f>ABS(Table3[[#This Row],[actual]]-Table3[[#This Row],[LightGBM]])/Table3[[#This Row],[actual]]*100</f>
        <v>23.346780173362824</v>
      </c>
      <c r="N7" s="11"/>
      <c r="O7" s="9"/>
    </row>
    <row r="8" spans="1:15" x14ac:dyDescent="0.25">
      <c r="A8" s="3" t="s">
        <v>21</v>
      </c>
      <c r="B8" s="5">
        <v>183200000</v>
      </c>
      <c r="C8" s="5">
        <v>183290000</v>
      </c>
      <c r="D8" s="5">
        <v>184410000</v>
      </c>
      <c r="E8" s="5">
        <v>185590000</v>
      </c>
      <c r="F8" s="5">
        <v>179520000</v>
      </c>
      <c r="G8" s="8">
        <v>260763827.27999997</v>
      </c>
      <c r="H8" s="14">
        <f>ABS(Table3[[#This Row],[actual]]-Table3[[#This Row],[Ensemble]])/Table3[[#This Row],[actual]]*100</f>
        <v>29.744856903298317</v>
      </c>
      <c r="I8" s="14">
        <f>ABS(Table3[[#This Row],[actual]]-Table3[[#This Row],[SARIMA]])/Table3[[#This Row],[actual]]*100</f>
        <v>29.710342913785748</v>
      </c>
      <c r="J8" s="14">
        <f>ABS(Table3[[#This Row],[actual]]-Table3[[#This Row],[XGBoost]])/Table3[[#This Row],[actual]]*100</f>
        <v>29.280835488740408</v>
      </c>
      <c r="K8" s="14">
        <f>ABS(Table3[[#This Row],[actual]]-Table3[[#This Row],[LSTM]])/Table3[[#This Row],[actual]]*100</f>
        <v>28.828318737353353</v>
      </c>
      <c r="L8" s="14">
        <f>ABS(Table3[[#This Row],[actual]]-Table3[[#This Row],[LightGBM]])/Table3[[#This Row],[actual]]*100</f>
        <v>31.156095585590144</v>
      </c>
      <c r="N8" s="11"/>
      <c r="O8" s="9"/>
    </row>
    <row r="9" spans="1:15" x14ac:dyDescent="0.25">
      <c r="A9" s="3" t="s">
        <v>22</v>
      </c>
      <c r="B9" s="5">
        <v>232070000</v>
      </c>
      <c r="C9" s="5">
        <v>229110000</v>
      </c>
      <c r="D9" s="5">
        <v>225480000</v>
      </c>
      <c r="E9" s="5">
        <v>241660000</v>
      </c>
      <c r="F9" s="5">
        <v>232040000</v>
      </c>
      <c r="G9" s="8">
        <v>200330389.95399997</v>
      </c>
      <c r="H9" s="14">
        <f>ABS(Table3[[#This Row],[actual]]-Table3[[#This Row],[Ensemble]])/Table3[[#This Row],[actual]]*100</f>
        <v>15.843632138532806</v>
      </c>
      <c r="I9" s="14">
        <f>ABS(Table3[[#This Row],[actual]]-Table3[[#This Row],[SARIMA]])/Table3[[#This Row],[actual]]*100</f>
        <v>14.366072992025039</v>
      </c>
      <c r="J9" s="14">
        <f>ABS(Table3[[#This Row],[actual]]-Table3[[#This Row],[XGBoost]])/Table3[[#This Row],[actual]]*100</f>
        <v>12.554066336003695</v>
      </c>
      <c r="K9" s="14">
        <f>ABS(Table3[[#This Row],[actual]]-Table3[[#This Row],[LSTM]])/Table3[[#This Row],[actual]]*100</f>
        <v>20.630724103063031</v>
      </c>
      <c r="L9" s="14">
        <f>ABS(Table3[[#This Row],[actual]]-Table3[[#This Row],[LightGBM]])/Table3[[#This Row],[actual]]*100</f>
        <v>15.828656876912795</v>
      </c>
      <c r="N9" s="11"/>
      <c r="O9" s="9"/>
    </row>
    <row r="10" spans="1:15" x14ac:dyDescent="0.25">
      <c r="A10" s="3" t="s">
        <v>23</v>
      </c>
      <c r="B10" s="5">
        <v>199020000</v>
      </c>
      <c r="C10" s="5">
        <v>183290000</v>
      </c>
      <c r="D10" s="5">
        <v>216070000</v>
      </c>
      <c r="E10" s="5">
        <v>199870000</v>
      </c>
      <c r="F10" s="5">
        <v>196860000</v>
      </c>
      <c r="G10" s="8">
        <v>210460598.32000008</v>
      </c>
      <c r="H10" s="14">
        <f>ABS(Table3[[#This Row],[actual]]-Table3[[#This Row],[Ensemble]])/Table3[[#This Row],[actual]]*100</f>
        <v>5.4359810868754339</v>
      </c>
      <c r="I10" s="14">
        <f>ABS(Table3[[#This Row],[actual]]-Table3[[#This Row],[SARIMA]])/Table3[[#This Row],[actual]]*100</f>
        <v>12.910064181556619</v>
      </c>
      <c r="J10" s="14">
        <f>ABS(Table3[[#This Row],[actual]]-Table3[[#This Row],[XGBoost]])/Table3[[#This Row],[actual]]*100</f>
        <v>2.6652977919748011</v>
      </c>
      <c r="K10" s="14">
        <f>ABS(Table3[[#This Row],[actual]]-Table3[[#This Row],[LSTM]])/Table3[[#This Row],[actual]]*100</f>
        <v>5.0321050137362731</v>
      </c>
      <c r="L10" s="14">
        <f>ABS(Table3[[#This Row],[actual]]-Table3[[#This Row],[LightGBM]])/Table3[[#This Row],[actual]]*100</f>
        <v>6.4623014609702434</v>
      </c>
      <c r="N10" s="11"/>
      <c r="O10" s="9"/>
    </row>
    <row r="11" spans="1:15" x14ac:dyDescent="0.25">
      <c r="A11" s="3" t="s">
        <v>24</v>
      </c>
      <c r="B11" s="5">
        <v>188720000</v>
      </c>
      <c r="C11" s="5">
        <v>183290000</v>
      </c>
      <c r="D11" s="5">
        <v>189250000</v>
      </c>
      <c r="E11" s="5">
        <v>200340000</v>
      </c>
      <c r="F11" s="5">
        <v>181980000</v>
      </c>
      <c r="G11" s="8">
        <v>226346278.50999954</v>
      </c>
      <c r="H11" s="14">
        <f>ABS(Table3[[#This Row],[actual]]-Table3[[#This Row],[Ensemble]])/Table3[[#This Row],[actual]]*100</f>
        <v>16.623325445281083</v>
      </c>
      <c r="I11" s="14">
        <f>ABS(Table3[[#This Row],[actual]]-Table3[[#This Row],[SARIMA]])/Table3[[#This Row],[actual]]*100</f>
        <v>19.022304582797638</v>
      </c>
      <c r="J11" s="14">
        <f>ABS(Table3[[#This Row],[actual]]-Table3[[#This Row],[XGBoost]])/Table3[[#This Row],[actual]]*100</f>
        <v>16.389170943829193</v>
      </c>
      <c r="K11" s="14">
        <f>ABS(Table3[[#This Row],[actual]]-Table3[[#This Row],[LSTM]])/Table3[[#This Row],[actual]]*100</f>
        <v>11.489598451184889</v>
      </c>
      <c r="L11" s="14">
        <f>ABS(Table3[[#This Row],[actual]]-Table3[[#This Row],[LightGBM]])/Table3[[#This Row],[actual]]*100</f>
        <v>19.601063822235332</v>
      </c>
      <c r="N11" s="11"/>
      <c r="O11" s="9"/>
    </row>
    <row r="12" spans="1:15" x14ac:dyDescent="0.25">
      <c r="A12" s="3" t="s">
        <v>25</v>
      </c>
      <c r="B12" s="5">
        <v>226840000</v>
      </c>
      <c r="C12" s="5">
        <v>229110000</v>
      </c>
      <c r="D12" s="5">
        <v>224640000</v>
      </c>
      <c r="E12" s="5">
        <v>242530000</v>
      </c>
      <c r="F12" s="5">
        <v>211100000</v>
      </c>
      <c r="G12" s="8">
        <v>187056372.86999923</v>
      </c>
      <c r="H12" s="14">
        <f>ABS(Table3[[#This Row],[actual]]-Table3[[#This Row],[Ensemble]])/Table3[[#This Row],[actual]]*100</f>
        <v>21.268255403225243</v>
      </c>
      <c r="I12" s="14">
        <f>ABS(Table3[[#This Row],[actual]]-Table3[[#This Row],[SARIMA]])/Table3[[#This Row],[actual]]*100</f>
        <v>22.481793314375487</v>
      </c>
      <c r="J12" s="14">
        <f>ABS(Table3[[#This Row],[actual]]-Table3[[#This Row],[XGBoost]])/Table3[[#This Row],[actual]]*100</f>
        <v>20.092139365987123</v>
      </c>
      <c r="K12" s="14">
        <f>ABS(Table3[[#This Row],[actual]]-Table3[[#This Row],[LSTM]])/Table3[[#This Row],[actual]]*100</f>
        <v>29.65610114152803</v>
      </c>
      <c r="L12" s="14">
        <f>ABS(Table3[[#This Row],[actual]]-Table3[[#This Row],[LightGBM]])/Table3[[#This Row],[actual]]*100</f>
        <v>12.853679754985228</v>
      </c>
      <c r="N12" s="11"/>
      <c r="O12" s="9"/>
    </row>
    <row r="13" spans="1:15" x14ac:dyDescent="0.25">
      <c r="A13" s="3" t="s">
        <v>26</v>
      </c>
      <c r="B13" s="5">
        <v>184440000</v>
      </c>
      <c r="C13" s="5">
        <v>183290000</v>
      </c>
      <c r="D13" s="5">
        <v>179830000</v>
      </c>
      <c r="E13" s="5">
        <v>188210000</v>
      </c>
      <c r="F13" s="5">
        <v>186430000</v>
      </c>
      <c r="G13" s="8">
        <v>193007941.13999954</v>
      </c>
      <c r="H13" s="14">
        <f>ABS(Table3[[#This Row],[actual]]-Table3[[#This Row],[Ensemble]])/Table3[[#This Row],[actual]]*100</f>
        <v>4.4391650879197391</v>
      </c>
      <c r="I13" s="14">
        <f>ABS(Table3[[#This Row],[actual]]-Table3[[#This Row],[SARIMA]])/Table3[[#This Row],[actual]]*100</f>
        <v>5.034995494278947</v>
      </c>
      <c r="J13" s="14">
        <f>ABS(Table3[[#This Row],[actual]]-Table3[[#This Row],[XGBoost]])/Table3[[#This Row],[actual]]*100</f>
        <v>6.8276678473249115</v>
      </c>
      <c r="K13" s="14">
        <f>ABS(Table3[[#This Row],[actual]]-Table3[[#This Row],[LSTM]])/Table3[[#This Row],[actual]]*100</f>
        <v>2.4858775818552052</v>
      </c>
      <c r="L13" s="14">
        <f>ABS(Table3[[#This Row],[actual]]-Table3[[#This Row],[LightGBM]])/Table3[[#This Row],[actual]]*100</f>
        <v>3.4081194282198926</v>
      </c>
      <c r="N13" s="11"/>
      <c r="O13" s="9"/>
    </row>
    <row r="14" spans="1:15" x14ac:dyDescent="0.25">
      <c r="A14" s="3" t="s">
        <v>27</v>
      </c>
      <c r="B14" s="5">
        <v>183080000</v>
      </c>
      <c r="C14" s="5">
        <v>183290000</v>
      </c>
      <c r="D14" s="5">
        <v>158510000</v>
      </c>
      <c r="E14" s="5">
        <v>227460000</v>
      </c>
      <c r="F14" s="5">
        <v>163040000</v>
      </c>
      <c r="G14" s="8">
        <v>334652089.25999969</v>
      </c>
      <c r="H14" s="14">
        <f>ABS(Table3[[#This Row],[actual]]-Table3[[#This Row],[Ensemble]])/Table3[[#This Row],[actual]]*100</f>
        <v>45.292437765789501</v>
      </c>
      <c r="I14" s="14">
        <f>ABS(Table3[[#This Row],[actual]]-Table3[[#This Row],[SARIMA]])/Table3[[#This Row],[actual]]*100</f>
        <v>45.229686028466013</v>
      </c>
      <c r="J14" s="14">
        <f>ABS(Table3[[#This Row],[actual]]-Table3[[#This Row],[XGBoost]])/Table3[[#This Row],[actual]]*100</f>
        <v>52.634391032637609</v>
      </c>
      <c r="K14" s="14">
        <f>ABS(Table3[[#This Row],[actual]]-Table3[[#This Row],[LSTM]])/Table3[[#This Row],[actual]]*100</f>
        <v>32.030903944759018</v>
      </c>
      <c r="L14" s="14">
        <f>ABS(Table3[[#This Row],[actual]]-Table3[[#This Row],[LightGBM]])/Table3[[#This Row],[actual]]*100</f>
        <v>51.280746413230936</v>
      </c>
      <c r="N14" s="11"/>
      <c r="O14" s="9"/>
    </row>
    <row r="15" spans="1:15" x14ac:dyDescent="0.25">
      <c r="A15" s="3" t="s">
        <v>28</v>
      </c>
      <c r="B15" s="5">
        <v>202980000</v>
      </c>
      <c r="C15" s="5">
        <v>183290000</v>
      </c>
      <c r="D15" s="5">
        <v>190240000</v>
      </c>
      <c r="E15" s="5">
        <v>254670000</v>
      </c>
      <c r="F15" s="5">
        <v>183710000</v>
      </c>
      <c r="G15" s="8">
        <v>239545650.85999939</v>
      </c>
      <c r="H15" s="14">
        <f>ABS(Table3[[#This Row],[actual]]-Table3[[#This Row],[Ensemble]])/Table3[[#This Row],[actual]]*100</f>
        <v>15.264585572196385</v>
      </c>
      <c r="I15" s="14">
        <f>ABS(Table3[[#This Row],[actual]]-Table3[[#This Row],[SARIMA]])/Table3[[#This Row],[actual]]*100</f>
        <v>23.484313181238917</v>
      </c>
      <c r="J15" s="14">
        <f>ABS(Table3[[#This Row],[actual]]-Table3[[#This Row],[XGBoost]])/Table3[[#This Row],[actual]]*100</f>
        <v>20.58298728571603</v>
      </c>
      <c r="K15" s="14">
        <f>ABS(Table3[[#This Row],[actual]]-Table3[[#This Row],[LSTM]])/Table3[[#This Row],[actual]]*100</f>
        <v>6.3137648651529554</v>
      </c>
      <c r="L15" s="14">
        <f>ABS(Table3[[#This Row],[actual]]-Table3[[#This Row],[LightGBM]])/Table3[[#This Row],[actual]]*100</f>
        <v>23.30898125661739</v>
      </c>
      <c r="N15" s="11"/>
      <c r="O15" s="9"/>
    </row>
    <row r="16" spans="1:15" x14ac:dyDescent="0.25">
      <c r="A16" s="3" t="s">
        <v>29</v>
      </c>
      <c r="B16" s="5">
        <v>262020000</v>
      </c>
      <c r="C16" s="5">
        <v>229110000</v>
      </c>
      <c r="D16" s="5">
        <v>245200000</v>
      </c>
      <c r="E16" s="5">
        <v>331200000</v>
      </c>
      <c r="F16" s="5">
        <v>242580000</v>
      </c>
      <c r="G16" s="8">
        <v>256518688.60999951</v>
      </c>
      <c r="H16" s="14">
        <f>ABS(Table3[[#This Row],[actual]]-Table3[[#This Row],[Ensemble]])/Table3[[#This Row],[actual]]*100</f>
        <v>2.1446045197761245</v>
      </c>
      <c r="I16" s="14">
        <f>ABS(Table3[[#This Row],[actual]]-Table3[[#This Row],[SARIMA]])/Table3[[#This Row],[actual]]*100</f>
        <v>10.684870080429326</v>
      </c>
      <c r="J16" s="14">
        <f>ABS(Table3[[#This Row],[actual]]-Table3[[#This Row],[XGBoost]])/Table3[[#This Row],[actual]]*100</f>
        <v>4.4124226080104361</v>
      </c>
      <c r="K16" s="14">
        <f>ABS(Table3[[#This Row],[actual]]-Table3[[#This Row],[LSTM]])/Table3[[#This Row],[actual]]*100</f>
        <v>29.113399805166985</v>
      </c>
      <c r="L16" s="14">
        <f>ABS(Table3[[#This Row],[actual]]-Table3[[#This Row],[LightGBM]])/Table3[[#This Row],[actual]]*100</f>
        <v>5.4337906861793286</v>
      </c>
      <c r="N16" s="11"/>
      <c r="O16" s="9"/>
    </row>
    <row r="17" spans="1:12" x14ac:dyDescent="0.25">
      <c r="A17" s="7" t="s">
        <v>30</v>
      </c>
      <c r="B17" s="10">
        <f>SUM(B5:B16)</f>
        <v>2460790000</v>
      </c>
      <c r="C17" s="10">
        <f t="shared" ref="C17:G17" si="0">SUM(C5:C16)</f>
        <v>2382760000</v>
      </c>
      <c r="D17" s="10">
        <f t="shared" si="0"/>
        <v>2420390000</v>
      </c>
      <c r="E17" s="10">
        <f t="shared" si="0"/>
        <v>2666820000</v>
      </c>
      <c r="F17" s="10">
        <f t="shared" si="0"/>
        <v>2373210000</v>
      </c>
      <c r="G17" s="10">
        <f t="shared" si="0"/>
        <v>2823072215.0639968</v>
      </c>
      <c r="H17" s="14">
        <f>ABS(Table3[[#This Row],[actual]]-Table3[[#This Row],[Ensemble]])/Table3[[#This Row],[actual]]*100</f>
        <v>12.832906403557379</v>
      </c>
      <c r="I17" s="14">
        <f>ABS(Table3[[#This Row],[actual]]-Table3[[#This Row],[SARIMA]])/Table3[[#This Row],[actual]]*100</f>
        <v>15.596916462656457</v>
      </c>
      <c r="J17" s="14">
        <f>ABS(Table3[[#This Row],[actual]]-Table3[[#This Row],[XGBoost]])/Table3[[#This Row],[actual]]*100</f>
        <v>14.263971460427848</v>
      </c>
      <c r="K17" s="14">
        <f>ABS(Table3[[#This Row],[actual]]-Table3[[#This Row],[LSTM]])/Table3[[#This Row],[actual]]*100</f>
        <v>5.5348288375419639</v>
      </c>
      <c r="L17" s="14">
        <f>ABS(Table3[[#This Row],[actual]]-Table3[[#This Row],[LightGBM]])/Table3[[#This Row],[actual]]*100</f>
        <v>15.935200405555291</v>
      </c>
    </row>
    <row r="19" spans="1:12" x14ac:dyDescent="0.25">
      <c r="G19" t="s">
        <v>56</v>
      </c>
      <c r="H19" s="14">
        <f>AVERAGE(H5:H16)</f>
        <v>16.674930513940254</v>
      </c>
      <c r="I19" s="14">
        <f t="shared" ref="I19:L19" si="1">AVERAGE(I5:I16)</f>
        <v>19.021933669436031</v>
      </c>
      <c r="J19" s="14">
        <f t="shared" si="1"/>
        <v>17.145141933916126</v>
      </c>
      <c r="K19" s="14">
        <f t="shared" si="1"/>
        <v>17.566714304604321</v>
      </c>
      <c r="L19" s="14">
        <f t="shared" si="1"/>
        <v>18.094616013285226</v>
      </c>
    </row>
    <row r="21" spans="1:12" x14ac:dyDescent="0.25">
      <c r="G21" t="s">
        <v>57</v>
      </c>
    </row>
  </sheetData>
  <phoneticPr fontId="7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pane xSplit="1" ySplit="4" topLeftCell="B5" activePane="bottomRight" state="frozen"/>
      <selection pane="topRight"/>
      <selection pane="bottomLeft"/>
      <selection pane="bottomRight" activeCell="M14" sqref="M14"/>
    </sheetView>
  </sheetViews>
  <sheetFormatPr defaultRowHeight="15" x14ac:dyDescent="0.25"/>
  <cols>
    <col min="1" max="1" width="13" customWidth="1"/>
    <col min="2" max="6" width="15" customWidth="1"/>
    <col min="7" max="7" width="10.5703125" bestFit="1" customWidth="1"/>
    <col min="10" max="10" width="11.5703125" bestFit="1" customWidth="1"/>
  </cols>
  <sheetData>
    <row r="1" spans="1:10" ht="15.75" x14ac:dyDescent="0.25">
      <c r="A1" s="1" t="s">
        <v>31</v>
      </c>
    </row>
    <row r="2" spans="1:10" x14ac:dyDescent="0.25">
      <c r="A2" s="6" t="s">
        <v>16</v>
      </c>
    </row>
    <row r="4" spans="1:10" x14ac:dyDescent="0.25">
      <c r="A4" s="2" t="s">
        <v>17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48</v>
      </c>
      <c r="H4" s="12" t="s">
        <v>50</v>
      </c>
      <c r="I4" s="12" t="s">
        <v>49</v>
      </c>
      <c r="J4" s="12" t="s">
        <v>51</v>
      </c>
    </row>
    <row r="5" spans="1:10" x14ac:dyDescent="0.25">
      <c r="A5" s="3" t="s">
        <v>18</v>
      </c>
      <c r="B5" s="5">
        <v>12952</v>
      </c>
      <c r="C5" s="5">
        <v>13713</v>
      </c>
      <c r="D5" s="5">
        <v>12709</v>
      </c>
      <c r="E5" s="5">
        <v>12932</v>
      </c>
      <c r="F5" s="5">
        <v>12453</v>
      </c>
      <c r="G5" s="8">
        <v>14902</v>
      </c>
      <c r="H5" s="5">
        <f>ABS(Table1[[#This Row],[actual]]-Table1[[#This Row],[Ensemble]])/SQRT(Table1[[#This Row],[count]])</f>
        <v>25.924067274463344</v>
      </c>
      <c r="I5" s="15">
        <f>ABS(Table1[[#This Row],[actual]]-Table1[[#This Row],[Ensemble]])/Table1[[#This Row],[actual]]*100</f>
        <v>13.085491880284525</v>
      </c>
      <c r="J5" s="5">
        <v>5658</v>
      </c>
    </row>
    <row r="6" spans="1:10" x14ac:dyDescent="0.25">
      <c r="A6" s="3" t="s">
        <v>19</v>
      </c>
      <c r="B6" s="5">
        <v>13102</v>
      </c>
      <c r="C6" s="5">
        <v>13713</v>
      </c>
      <c r="D6" s="5">
        <v>13005</v>
      </c>
      <c r="E6" s="5">
        <v>12782</v>
      </c>
      <c r="F6" s="5">
        <v>12907</v>
      </c>
      <c r="G6" s="8">
        <v>16336</v>
      </c>
      <c r="H6" s="5">
        <f>ABS(Table1[[#This Row],[actual]]-Table1[[#This Row],[Ensemble]])/SQRT(Table1[[#This Row],[count]])</f>
        <v>43.730662210102253</v>
      </c>
      <c r="I6" s="15">
        <f>ABS(Table1[[#This Row],[actual]]-Table1[[#This Row],[Ensemble]])/Table1[[#This Row],[actual]]*100</f>
        <v>19.79676787463271</v>
      </c>
      <c r="J6" s="5">
        <v>5469</v>
      </c>
    </row>
    <row r="7" spans="1:10" x14ac:dyDescent="0.25">
      <c r="A7" s="3" t="s">
        <v>20</v>
      </c>
      <c r="B7" s="5">
        <v>16839</v>
      </c>
      <c r="C7" s="5">
        <v>17141</v>
      </c>
      <c r="D7" s="5">
        <v>17450</v>
      </c>
      <c r="E7" s="5">
        <v>16026</v>
      </c>
      <c r="F7" s="5">
        <v>16739</v>
      </c>
      <c r="G7" s="8">
        <v>25413</v>
      </c>
      <c r="H7" s="5">
        <f>ABS(Table1[[#This Row],[actual]]-Table1[[#This Row],[Ensemble]])/SQRT(Table1[[#This Row],[count]])</f>
        <v>97.900700030657745</v>
      </c>
      <c r="I7" s="15">
        <f>ABS(Table1[[#This Row],[actual]]-Table1[[#This Row],[Ensemble]])/Table1[[#This Row],[actual]]*100</f>
        <v>33.738637705111557</v>
      </c>
      <c r="J7" s="5">
        <v>7670</v>
      </c>
    </row>
    <row r="8" spans="1:10" x14ac:dyDescent="0.25">
      <c r="A8" s="3" t="s">
        <v>21</v>
      </c>
      <c r="B8" s="5">
        <v>13125</v>
      </c>
      <c r="C8" s="5">
        <v>13713</v>
      </c>
      <c r="D8" s="5">
        <v>13326</v>
      </c>
      <c r="E8" s="5">
        <v>12868</v>
      </c>
      <c r="F8" s="5">
        <v>12594</v>
      </c>
      <c r="G8" s="8">
        <v>27890</v>
      </c>
      <c r="H8" s="5">
        <f>ABS(Table1[[#This Row],[actual]]-Table1[[#This Row],[Ensemble]])/SQRT(Table1[[#This Row],[count]])</f>
        <v>202.8320086680807</v>
      </c>
      <c r="I8" s="15">
        <f>ABS(Table1[[#This Row],[actual]]-Table1[[#This Row],[Ensemble]])/Table1[[#This Row],[actual]]*100</f>
        <v>52.940121907493719</v>
      </c>
      <c r="J8" s="5">
        <v>5299</v>
      </c>
    </row>
    <row r="9" spans="1:10" x14ac:dyDescent="0.25">
      <c r="A9" s="3" t="s">
        <v>22</v>
      </c>
      <c r="B9" s="5">
        <v>16815</v>
      </c>
      <c r="C9" s="5">
        <v>17141</v>
      </c>
      <c r="D9" s="5">
        <v>16426</v>
      </c>
      <c r="E9" s="5">
        <v>15868</v>
      </c>
      <c r="F9" s="5">
        <v>17826</v>
      </c>
      <c r="G9" s="8">
        <v>16061</v>
      </c>
      <c r="H9" s="5">
        <f>ABS(Table1[[#This Row],[actual]]-Table1[[#This Row],[Ensemble]])/SQRT(Table1[[#This Row],[count]])</f>
        <v>10.346255406737372</v>
      </c>
      <c r="I9" s="15">
        <f>ABS(Table1[[#This Row],[actual]]-Table1[[#This Row],[Ensemble]])/Table1[[#This Row],[actual]]*100</f>
        <v>4.6946018305211386</v>
      </c>
      <c r="J9" s="5">
        <v>5311</v>
      </c>
    </row>
    <row r="10" spans="1:10" x14ac:dyDescent="0.25">
      <c r="A10" s="3" t="s">
        <v>23</v>
      </c>
      <c r="B10" s="5">
        <v>13836</v>
      </c>
      <c r="C10" s="5">
        <v>13713</v>
      </c>
      <c r="D10" s="5">
        <v>15595</v>
      </c>
      <c r="E10" s="5">
        <v>12282</v>
      </c>
      <c r="F10" s="5">
        <v>13755</v>
      </c>
      <c r="G10" s="8">
        <v>16161</v>
      </c>
      <c r="H10" s="5">
        <f>ABS(Table1[[#This Row],[actual]]-Table1[[#This Row],[Ensemble]])/SQRT(Table1[[#This Row],[count]])</f>
        <v>29.736904583239731</v>
      </c>
      <c r="I10" s="15">
        <f>ABS(Table1[[#This Row],[actual]]-Table1[[#This Row],[Ensemble]])/Table1[[#This Row],[actual]]*100</f>
        <v>14.386485984778169</v>
      </c>
      <c r="J10" s="5">
        <v>6113</v>
      </c>
    </row>
    <row r="11" spans="1:10" x14ac:dyDescent="0.25">
      <c r="A11" s="3" t="s">
        <v>24</v>
      </c>
      <c r="B11" s="5">
        <v>13510</v>
      </c>
      <c r="C11" s="5">
        <v>13713</v>
      </c>
      <c r="D11" s="5">
        <v>13357</v>
      </c>
      <c r="E11" s="5">
        <v>11915</v>
      </c>
      <c r="F11" s="5">
        <v>15057</v>
      </c>
      <c r="G11" s="8">
        <v>19640</v>
      </c>
      <c r="H11" s="5">
        <f>ABS(Table1[[#This Row],[actual]]-Table1[[#This Row],[Ensemble]])/SQRT(Table1[[#This Row],[count]])</f>
        <v>79.184163949979293</v>
      </c>
      <c r="I11" s="15">
        <f>ABS(Table1[[#This Row],[actual]]-Table1[[#This Row],[Ensemble]])/Table1[[#This Row],[actual]]*100</f>
        <v>31.211812627291241</v>
      </c>
      <c r="J11" s="5">
        <v>5993</v>
      </c>
    </row>
    <row r="12" spans="1:10" x14ac:dyDescent="0.25">
      <c r="A12" s="3" t="s">
        <v>25</v>
      </c>
      <c r="B12" s="5">
        <v>16146</v>
      </c>
      <c r="C12" s="5">
        <v>17141</v>
      </c>
      <c r="D12" s="5">
        <v>16821</v>
      </c>
      <c r="E12" s="5">
        <v>14650</v>
      </c>
      <c r="F12" s="5">
        <v>15972</v>
      </c>
      <c r="G12" s="8">
        <v>13662</v>
      </c>
      <c r="H12" s="5">
        <f>ABS(Table1[[#This Row],[actual]]-Table1[[#This Row],[Ensemble]])/SQRT(Table1[[#This Row],[count]])</f>
        <v>33.815485024286204</v>
      </c>
      <c r="I12" s="15">
        <f>ABS(Table1[[#This Row],[actual]]-Table1[[#This Row],[Ensemble]])/Table1[[#This Row],[actual]]*100</f>
        <v>18.181818181818183</v>
      </c>
      <c r="J12" s="5">
        <v>5396</v>
      </c>
    </row>
    <row r="13" spans="1:10" x14ac:dyDescent="0.25">
      <c r="A13" s="3" t="s">
        <v>26</v>
      </c>
      <c r="B13" s="5">
        <v>12592</v>
      </c>
      <c r="C13" s="5">
        <v>13713</v>
      </c>
      <c r="D13" s="5">
        <v>12170</v>
      </c>
      <c r="E13" s="5">
        <v>11793</v>
      </c>
      <c r="F13" s="5">
        <v>12691</v>
      </c>
      <c r="G13" s="8">
        <v>14249</v>
      </c>
      <c r="H13" s="5">
        <f>ABS(Table1[[#This Row],[actual]]-Table1[[#This Row],[Ensemble]])/SQRT(Table1[[#This Row],[count]])</f>
        <v>22.377593761061721</v>
      </c>
      <c r="I13" s="15">
        <f>ABS(Table1[[#This Row],[actual]]-Table1[[#This Row],[Ensemble]])/Table1[[#This Row],[actual]]*100</f>
        <v>11.628886237630711</v>
      </c>
      <c r="J13" s="5">
        <v>5483</v>
      </c>
    </row>
    <row r="14" spans="1:10" x14ac:dyDescent="0.25">
      <c r="A14" s="3" t="s">
        <v>27</v>
      </c>
      <c r="B14" s="5">
        <v>12759</v>
      </c>
      <c r="C14" s="5">
        <v>13713</v>
      </c>
      <c r="D14" s="5">
        <v>12232</v>
      </c>
      <c r="E14" s="5">
        <v>12060</v>
      </c>
      <c r="F14" s="5">
        <v>13029</v>
      </c>
      <c r="G14" s="8">
        <v>27730</v>
      </c>
      <c r="H14" s="5">
        <f>ABS(Table1[[#This Row],[actual]]-Table1[[#This Row],[Ensemble]])/SQRT(Table1[[#This Row],[count]])</f>
        <v>195.12090087659107</v>
      </c>
      <c r="I14" s="15">
        <f>ABS(Table1[[#This Row],[actual]]-Table1[[#This Row],[Ensemble]])/Table1[[#This Row],[actual]]*100</f>
        <v>53.988460151460515</v>
      </c>
      <c r="J14" s="5">
        <v>5887</v>
      </c>
    </row>
    <row r="15" spans="1:10" x14ac:dyDescent="0.25">
      <c r="A15" s="3" t="s">
        <v>28</v>
      </c>
      <c r="B15" s="5">
        <v>12925</v>
      </c>
      <c r="C15" s="5">
        <v>13713</v>
      </c>
      <c r="D15" s="5">
        <v>12503</v>
      </c>
      <c r="E15" s="5">
        <v>12362</v>
      </c>
      <c r="F15" s="5">
        <v>13120</v>
      </c>
      <c r="G15" s="8">
        <v>17874</v>
      </c>
      <c r="H15" s="5">
        <f>ABS(Table1[[#This Row],[actual]]-Table1[[#This Row],[Ensemble]])/SQRT(Table1[[#This Row],[count]])</f>
        <v>61.925424980080031</v>
      </c>
      <c r="I15" s="15">
        <f>ABS(Table1[[#This Row],[actual]]-Table1[[#This Row],[Ensemble]])/Table1[[#This Row],[actual]]*100</f>
        <v>27.688262280407294</v>
      </c>
      <c r="J15" s="5">
        <v>6387</v>
      </c>
    </row>
    <row r="16" spans="1:10" x14ac:dyDescent="0.25">
      <c r="A16" s="3" t="s">
        <v>29</v>
      </c>
      <c r="B16" s="5">
        <v>16799</v>
      </c>
      <c r="C16" s="5">
        <v>17141</v>
      </c>
      <c r="D16" s="5">
        <v>17763</v>
      </c>
      <c r="E16" s="5">
        <v>15747</v>
      </c>
      <c r="F16" s="5">
        <v>16546</v>
      </c>
      <c r="G16" s="8">
        <v>21162</v>
      </c>
      <c r="H16" s="5">
        <f>ABS(Table1[[#This Row],[actual]]-Table1[[#This Row],[Ensemble]])/SQRT(Table1[[#This Row],[count]])</f>
        <v>53.611484805355644</v>
      </c>
      <c r="I16" s="15">
        <f>ABS(Table1[[#This Row],[actual]]-Table1[[#This Row],[Ensemble]])/Table1[[#This Row],[actual]]*100</f>
        <v>20.617143937246006</v>
      </c>
      <c r="J16" s="5">
        <v>6623</v>
      </c>
    </row>
    <row r="17" spans="1:10" x14ac:dyDescent="0.25">
      <c r="A17" s="7" t="s">
        <v>30</v>
      </c>
      <c r="B17" s="10">
        <f>SUM(B5:B16)</f>
        <v>171400</v>
      </c>
      <c r="C17" s="10">
        <f t="shared" ref="C17:G17" si="0">SUM(C5:C16)</f>
        <v>178268</v>
      </c>
      <c r="D17" s="10">
        <f t="shared" si="0"/>
        <v>173357</v>
      </c>
      <c r="E17" s="10">
        <f t="shared" si="0"/>
        <v>161285</v>
      </c>
      <c r="F17" s="10">
        <f t="shared" si="0"/>
        <v>172689</v>
      </c>
      <c r="G17" s="10">
        <f t="shared" si="0"/>
        <v>231080</v>
      </c>
      <c r="H17" s="5"/>
      <c r="I17" s="15">
        <f>AVERAGE(I5:I16)</f>
        <v>25.163207549889648</v>
      </c>
      <c r="J17" s="13">
        <f>COUNTIFS([1]!Table3[Sales Order Date],"&gt;="&amp;F17,[1]!Table3[Sales Order Date],"&lt;"&amp;EDATE(F17,1))</f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/>
  </sheetViews>
  <sheetFormatPr defaultRowHeight="15" x14ac:dyDescent="0.25"/>
  <cols>
    <col min="1" max="1" width="13" customWidth="1"/>
    <col min="2" max="7" width="15" customWidth="1"/>
  </cols>
  <sheetData>
    <row r="1" spans="1:7" ht="15.75" x14ac:dyDescent="0.25">
      <c r="A1" s="1" t="s">
        <v>32</v>
      </c>
    </row>
    <row r="3" spans="1:7" x14ac:dyDescent="0.25">
      <c r="A3" s="3" t="s">
        <v>33</v>
      </c>
    </row>
    <row r="4" spans="1:7" x14ac:dyDescent="0.25">
      <c r="A4" s="2" t="s">
        <v>17</v>
      </c>
      <c r="B4" s="2" t="s">
        <v>34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7" x14ac:dyDescent="0.25">
      <c r="A5" s="3" t="s">
        <v>35</v>
      </c>
      <c r="B5" s="5">
        <v>161910000</v>
      </c>
      <c r="C5" s="5">
        <v>152460000</v>
      </c>
      <c r="D5" s="5">
        <v>177530000</v>
      </c>
      <c r="E5" s="5">
        <v>127660000</v>
      </c>
      <c r="F5" s="5">
        <v>192790000</v>
      </c>
      <c r="G5" s="5">
        <v>111850000</v>
      </c>
    </row>
    <row r="6" spans="1:7" x14ac:dyDescent="0.25">
      <c r="A6" s="3" t="s">
        <v>36</v>
      </c>
      <c r="B6" s="5">
        <v>204640000</v>
      </c>
      <c r="C6" s="5">
        <v>176580000</v>
      </c>
      <c r="D6" s="5">
        <v>177530000</v>
      </c>
      <c r="E6" s="5">
        <v>164320000</v>
      </c>
      <c r="F6" s="5">
        <v>195230000</v>
      </c>
      <c r="G6" s="5">
        <v>169250000</v>
      </c>
    </row>
    <row r="7" spans="1:7" x14ac:dyDescent="0.25">
      <c r="A7" s="3" t="s">
        <v>37</v>
      </c>
      <c r="B7" s="5">
        <v>240450000</v>
      </c>
      <c r="C7" s="5">
        <v>230860000</v>
      </c>
      <c r="D7" s="5">
        <v>221920000</v>
      </c>
      <c r="E7" s="5">
        <v>244400000</v>
      </c>
      <c r="F7" s="5">
        <v>246970000</v>
      </c>
      <c r="G7" s="5">
        <v>210150000</v>
      </c>
    </row>
    <row r="8" spans="1:7" x14ac:dyDescent="0.25">
      <c r="A8" s="3" t="s">
        <v>38</v>
      </c>
      <c r="B8" s="5">
        <v>167530000</v>
      </c>
      <c r="C8" s="5">
        <v>176630000</v>
      </c>
      <c r="D8" s="5">
        <v>177530000</v>
      </c>
      <c r="E8" s="5">
        <v>155550000</v>
      </c>
      <c r="F8" s="5">
        <v>199770000</v>
      </c>
      <c r="G8" s="5">
        <v>173650000</v>
      </c>
    </row>
    <row r="9" spans="1:7" x14ac:dyDescent="0.25">
      <c r="A9" s="3" t="s">
        <v>39</v>
      </c>
      <c r="B9" s="5">
        <v>204700000</v>
      </c>
      <c r="C9" s="5">
        <v>167430000</v>
      </c>
      <c r="D9" s="5">
        <v>177530000</v>
      </c>
      <c r="E9" s="5">
        <v>162150000</v>
      </c>
      <c r="F9" s="5">
        <v>198100000</v>
      </c>
      <c r="G9" s="5">
        <v>131910000</v>
      </c>
    </row>
    <row r="10" spans="1:7" x14ac:dyDescent="0.25">
      <c r="A10" s="3" t="s">
        <v>40</v>
      </c>
      <c r="B10" s="5">
        <v>242620000</v>
      </c>
      <c r="C10" s="5">
        <v>230870000</v>
      </c>
      <c r="D10" s="5">
        <v>221920000</v>
      </c>
      <c r="E10" s="5">
        <v>229140000</v>
      </c>
      <c r="F10" s="5">
        <v>241240000</v>
      </c>
      <c r="G10" s="5">
        <v>231180000</v>
      </c>
    </row>
    <row r="11" spans="1:7" x14ac:dyDescent="0.25">
      <c r="A11" s="3" t="s">
        <v>41</v>
      </c>
      <c r="B11" s="5">
        <v>300380000</v>
      </c>
      <c r="C11" s="5">
        <v>167100000</v>
      </c>
      <c r="D11" s="5">
        <v>177530000</v>
      </c>
      <c r="E11" s="5">
        <v>153830000</v>
      </c>
      <c r="F11" s="5">
        <v>186810000</v>
      </c>
      <c r="G11" s="5">
        <v>150210000</v>
      </c>
    </row>
    <row r="12" spans="1:7" x14ac:dyDescent="0.25">
      <c r="A12" s="3" t="s">
        <v>42</v>
      </c>
      <c r="B12" s="5">
        <v>179460000</v>
      </c>
      <c r="C12" s="5">
        <v>165040000</v>
      </c>
      <c r="D12" s="5">
        <v>177530000</v>
      </c>
      <c r="E12" s="5">
        <v>156890000</v>
      </c>
      <c r="F12" s="5">
        <v>182770000</v>
      </c>
      <c r="G12" s="5">
        <v>142990000</v>
      </c>
    </row>
    <row r="13" spans="1:7" x14ac:dyDescent="0.25">
      <c r="A13" s="3" t="s">
        <v>43</v>
      </c>
      <c r="B13" s="5">
        <v>175050000</v>
      </c>
      <c r="C13" s="5">
        <v>220780000</v>
      </c>
      <c r="D13" s="5">
        <v>221920000</v>
      </c>
      <c r="E13" s="5">
        <v>206440000</v>
      </c>
      <c r="F13" s="5">
        <v>232150000</v>
      </c>
      <c r="G13" s="5">
        <v>222620000</v>
      </c>
    </row>
    <row r="14" spans="1:7" x14ac:dyDescent="0.25">
      <c r="A14" s="3" t="s">
        <v>44</v>
      </c>
      <c r="B14" s="5">
        <v>153700000</v>
      </c>
      <c r="C14" s="5">
        <v>169830000</v>
      </c>
      <c r="D14" s="5">
        <v>177530000</v>
      </c>
      <c r="E14" s="5">
        <v>170940000</v>
      </c>
      <c r="F14" s="5">
        <v>198650000</v>
      </c>
      <c r="G14" s="5">
        <v>132190000</v>
      </c>
    </row>
    <row r="15" spans="1:7" x14ac:dyDescent="0.25">
      <c r="A15" s="3" t="s">
        <v>45</v>
      </c>
      <c r="B15" s="5">
        <v>178940000</v>
      </c>
      <c r="C15" s="5">
        <v>188880000</v>
      </c>
      <c r="D15" s="5">
        <v>177530000</v>
      </c>
      <c r="E15" s="5">
        <v>172710000</v>
      </c>
      <c r="F15" s="5">
        <v>212700000</v>
      </c>
      <c r="G15" s="5">
        <v>192570000</v>
      </c>
    </row>
    <row r="16" spans="1:7" x14ac:dyDescent="0.25">
      <c r="A16" s="3" t="s">
        <v>46</v>
      </c>
      <c r="B16" s="5">
        <v>244230000</v>
      </c>
      <c r="C16" s="5">
        <v>240980000</v>
      </c>
      <c r="D16" s="5">
        <v>221920000</v>
      </c>
      <c r="E16" s="5">
        <v>232800000</v>
      </c>
      <c r="F16" s="5">
        <v>274740000</v>
      </c>
      <c r="G16" s="5">
        <v>234460000</v>
      </c>
    </row>
    <row r="18" spans="1:7" x14ac:dyDescent="0.25">
      <c r="A18" s="3" t="s">
        <v>47</v>
      </c>
    </row>
    <row r="19" spans="1:7" x14ac:dyDescent="0.25">
      <c r="A19" s="2" t="s">
        <v>17</v>
      </c>
      <c r="B19" s="2" t="s">
        <v>34</v>
      </c>
      <c r="C19" s="2" t="s">
        <v>7</v>
      </c>
      <c r="D19" s="2" t="s">
        <v>8</v>
      </c>
      <c r="E19" s="2" t="s">
        <v>9</v>
      </c>
      <c r="F19" s="2" t="s">
        <v>10</v>
      </c>
      <c r="G19" s="2" t="s">
        <v>11</v>
      </c>
    </row>
    <row r="20" spans="1:7" x14ac:dyDescent="0.25">
      <c r="A20" s="3" t="s">
        <v>35</v>
      </c>
      <c r="B20" s="5">
        <v>10183</v>
      </c>
      <c r="C20" s="5">
        <v>10354</v>
      </c>
      <c r="D20" s="5">
        <v>13128</v>
      </c>
      <c r="E20" s="5">
        <v>7919</v>
      </c>
      <c r="F20" s="5">
        <v>12967</v>
      </c>
      <c r="G20" s="5">
        <v>7401</v>
      </c>
    </row>
    <row r="21" spans="1:7" x14ac:dyDescent="0.25">
      <c r="A21" s="3" t="s">
        <v>36</v>
      </c>
      <c r="B21" s="5">
        <v>13411</v>
      </c>
      <c r="C21" s="5">
        <v>12209</v>
      </c>
      <c r="D21" s="5">
        <v>13128</v>
      </c>
      <c r="E21" s="5">
        <v>12597</v>
      </c>
      <c r="F21" s="5">
        <v>12639</v>
      </c>
      <c r="G21" s="5">
        <v>10474</v>
      </c>
    </row>
    <row r="22" spans="1:7" x14ac:dyDescent="0.25">
      <c r="A22" s="3" t="s">
        <v>37</v>
      </c>
      <c r="B22" s="5">
        <v>16329</v>
      </c>
      <c r="C22" s="5">
        <v>15455</v>
      </c>
      <c r="D22" s="5">
        <v>16409</v>
      </c>
      <c r="E22" s="5">
        <v>14830</v>
      </c>
      <c r="F22" s="5">
        <v>16097</v>
      </c>
      <c r="G22" s="5">
        <v>14485</v>
      </c>
    </row>
    <row r="23" spans="1:7" x14ac:dyDescent="0.25">
      <c r="A23" s="3" t="s">
        <v>38</v>
      </c>
      <c r="B23" s="5">
        <v>12117</v>
      </c>
      <c r="C23" s="5">
        <v>12384</v>
      </c>
      <c r="D23" s="5">
        <v>13128</v>
      </c>
      <c r="E23" s="5">
        <v>11487</v>
      </c>
      <c r="F23" s="5">
        <v>12722</v>
      </c>
      <c r="G23" s="5">
        <v>12200</v>
      </c>
    </row>
    <row r="24" spans="1:7" x14ac:dyDescent="0.25">
      <c r="A24" s="3" t="s">
        <v>39</v>
      </c>
      <c r="B24" s="5">
        <v>19566</v>
      </c>
      <c r="C24" s="5">
        <v>11388</v>
      </c>
      <c r="D24" s="5">
        <v>13128</v>
      </c>
      <c r="E24" s="5">
        <v>10904</v>
      </c>
      <c r="F24" s="5">
        <v>12456</v>
      </c>
      <c r="G24" s="5">
        <v>9064</v>
      </c>
    </row>
    <row r="25" spans="1:7" x14ac:dyDescent="0.25">
      <c r="A25" s="3" t="s">
        <v>40</v>
      </c>
      <c r="B25" s="5">
        <v>16366</v>
      </c>
      <c r="C25" s="5">
        <v>16415</v>
      </c>
      <c r="D25" s="5">
        <v>16409</v>
      </c>
      <c r="E25" s="5">
        <v>16899</v>
      </c>
      <c r="F25" s="5">
        <v>15092</v>
      </c>
      <c r="G25" s="5">
        <v>17257</v>
      </c>
    </row>
    <row r="26" spans="1:7" x14ac:dyDescent="0.25">
      <c r="A26" s="3" t="s">
        <v>41</v>
      </c>
      <c r="B26" s="5">
        <v>20310</v>
      </c>
      <c r="C26" s="5">
        <v>11183</v>
      </c>
      <c r="D26" s="5">
        <v>13128</v>
      </c>
      <c r="E26" s="5">
        <v>10482</v>
      </c>
      <c r="F26" s="5">
        <v>11780</v>
      </c>
      <c r="G26" s="5">
        <v>9344</v>
      </c>
    </row>
    <row r="27" spans="1:7" x14ac:dyDescent="0.25">
      <c r="A27" s="3" t="s">
        <v>42</v>
      </c>
      <c r="B27" s="5">
        <v>17714</v>
      </c>
      <c r="C27" s="5">
        <v>11266</v>
      </c>
      <c r="D27" s="5">
        <v>13128</v>
      </c>
      <c r="E27" s="5">
        <v>10956</v>
      </c>
      <c r="F27" s="5">
        <v>11692</v>
      </c>
      <c r="G27" s="5">
        <v>9289</v>
      </c>
    </row>
    <row r="28" spans="1:7" x14ac:dyDescent="0.25">
      <c r="A28" s="3" t="s">
        <v>43</v>
      </c>
      <c r="B28" s="5">
        <v>13972</v>
      </c>
      <c r="C28" s="5">
        <v>14956</v>
      </c>
      <c r="D28" s="5">
        <v>16409</v>
      </c>
      <c r="E28" s="5">
        <v>13689</v>
      </c>
      <c r="F28" s="5">
        <v>14747</v>
      </c>
      <c r="G28" s="5">
        <v>14978</v>
      </c>
    </row>
    <row r="29" spans="1:7" x14ac:dyDescent="0.25">
      <c r="A29" s="3" t="s">
        <v>44</v>
      </c>
      <c r="B29" s="5">
        <v>12251</v>
      </c>
      <c r="C29" s="5">
        <v>11456</v>
      </c>
      <c r="D29" s="5">
        <v>13128</v>
      </c>
      <c r="E29" s="5">
        <v>10845</v>
      </c>
      <c r="F29" s="5">
        <v>12108</v>
      </c>
      <c r="G29" s="5">
        <v>9742</v>
      </c>
    </row>
    <row r="30" spans="1:7" x14ac:dyDescent="0.25">
      <c r="A30" s="3" t="s">
        <v>45</v>
      </c>
      <c r="B30" s="5">
        <v>12311</v>
      </c>
      <c r="C30" s="5">
        <v>13234</v>
      </c>
      <c r="D30" s="5">
        <v>13128</v>
      </c>
      <c r="E30" s="5">
        <v>13629</v>
      </c>
      <c r="F30" s="5">
        <v>12651</v>
      </c>
      <c r="G30" s="5">
        <v>13527</v>
      </c>
    </row>
    <row r="31" spans="1:7" x14ac:dyDescent="0.25">
      <c r="A31" s="3" t="s">
        <v>46</v>
      </c>
      <c r="B31" s="5">
        <v>17785</v>
      </c>
      <c r="C31" s="5">
        <v>16752</v>
      </c>
      <c r="D31" s="5">
        <v>16409</v>
      </c>
      <c r="E31" s="5">
        <v>16450</v>
      </c>
      <c r="F31" s="5">
        <v>16817</v>
      </c>
      <c r="G31" s="5">
        <v>17330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Accuracy</vt:lpstr>
      <vt:lpstr>FY25 Revenue</vt:lpstr>
      <vt:lpstr>FY25 Units</vt:lpstr>
      <vt:lpstr>Backtest FY24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Yoth Srimanchanda</cp:lastModifiedBy>
  <dcterms:created xsi:type="dcterms:W3CDTF">2026-10-05T05:50:33Z</dcterms:created>
  <dcterms:modified xsi:type="dcterms:W3CDTF">2026-10-12T08:46:47Z</dcterms:modified>
</cp:coreProperties>
</file>