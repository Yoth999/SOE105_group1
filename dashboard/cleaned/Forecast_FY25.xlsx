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 this" sheetId="1" state="visible" r:id="rId1"/>
    <sheet name="Accuracy" sheetId="2" state="visible" r:id="rId2"/>
    <sheet name="FY25 Revenue" sheetId="3" state="visible" r:id="rId3"/>
    <sheet name="FY25 Units" sheetId="4" state="visible" r:id="rId4"/>
    <sheet name="Backtest Revenue" sheetId="5" state="visible" r:id="rId5"/>
    <sheet name="Backtest Units" sheetId="6" state="visible" r:id="rId6"/>
  </sheets>
  <definedNames>
    <definedName name="_xlnm._FilterDatabase" localSheetId="1" hidden="1">'Accuracy'!$A$4:$E$9</definedName>
    <definedName name="_xlnm._FilterDatabase" localSheetId="2" hidden="1">'FY25 Revenue'!$A$4:$F$16</definedName>
    <definedName name="_xlnm._FilterDatabase" localSheetId="3" hidden="1">'FY25 Units'!$A$4:$F$16</definedName>
    <definedName name="_xlnm._FilterDatabase" localSheetId="4" hidden="1">'Backtest Revenue'!$A$4:$G$16</definedName>
    <definedName name="_xlnm._FilterDatabase" localSheetId="5" hidden="1">'Backtest Units'!$A$4:$G$16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i val="1"/>
      <color rgb="005A6068"/>
      <sz val="9"/>
    </font>
    <font>
      <name val="Arial"/>
      <b val="1"/>
      <sz val="12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2262B"/>
      </patternFill>
    </fill>
  </fills>
  <borders count="2">
    <border>
      <left/>
      <right/>
      <top/>
      <bottom/>
      <diagonal/>
    </border>
    <border>
      <top style="thin">
        <color rgb="00BFC5CC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164" fontId="3" fillId="0" borderId="0" pivotButton="0" quotePrefix="0" xfId="0"/>
    <xf numFmtId="3" fontId="3" fillId="0" borderId="0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FY25 forecast</t>
        </is>
      </c>
    </row>
    <row r="3" ht="30" customHeight="1">
      <c r="A3" s="2" t="inlineStr">
        <is>
          <t>What this is</t>
        </is>
      </c>
      <c r="B3" s="3" t="inlineStr">
        <is>
          <t>Apr 2025 – Mar 2026 projected by five models from 209 weeks of real sales-order history. Every model was then scored on a year it was never shown.</t>
        </is>
      </c>
    </row>
    <row r="5" ht="30" customHeight="1">
      <c r="A5" s="2" t="inlineStr">
        <is>
          <t>Data as of</t>
        </is>
      </c>
      <c r="B5" s="3" t="inlineStr">
        <is>
          <t>31 Mar 2025 — the last day in the sales history</t>
        </is>
      </c>
    </row>
    <row r="7" ht="30" customHeight="1">
      <c r="A7" s="2" t="inlineStr">
        <is>
          <t>Source</t>
        </is>
      </c>
      <c r="B7" s="3" t="inlineStr">
        <is>
          <t>Sale Order History.xlsx · Item.xlsx · Customer.xlsx, cleaned by the SOE dashboard pipeline. Confirmed sales only (Billed / Closed), duplicate rows removed.</t>
        </is>
      </c>
    </row>
    <row r="9">
      <c r="A9" s="2" t="inlineStr">
        <is>
          <t>Columns</t>
        </is>
      </c>
      <c r="B9" s="4" t="inlineStr">
        <is>
          <t>Off % — average monthly error on the held-out year Apr 2024 – Mar 2025 — lower is better</t>
        </is>
      </c>
    </row>
    <row r="10">
      <c r="B10" s="4" t="inlineStr">
        <is>
          <t>Ensemble — not a trained model: the plain average of the four others, month by month</t>
        </is>
      </c>
    </row>
    <row r="12">
      <c r="A12" s="2" t="inlineStr">
        <is>
          <t>Watch out</t>
        </is>
      </c>
      <c r="B12" s="5" t="inlineStr">
        <is>
          <t>Read the range between the models as the direction, not a plan number: even the best of them is off by around 12% in a month.</t>
        </is>
      </c>
    </row>
    <row r="13">
      <c r="B13" s="5" t="inlineStr">
        <is>
          <t>Revenue and units are forecast separately, on the same data and the same protocol.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1" customWidth="1" min="3" max="3"/>
    <col width="14" customWidth="1" min="4" max="4"/>
    <col width="15" customWidth="1" min="5" max="5"/>
  </cols>
  <sheetData>
    <row r="1">
      <c r="A1" s="6" t="inlineStr">
        <is>
          <t>Model scorecard</t>
        </is>
      </c>
    </row>
    <row r="2">
      <c r="A2" s="5" t="inlineStr">
        <is>
          <t>FY24 actual: 2,453,600,000 THB · 182,315 units</t>
        </is>
      </c>
    </row>
    <row r="4">
      <c r="A4" s="7" t="inlineStr">
        <is>
          <t>Model</t>
        </is>
      </c>
      <c r="B4" s="7" t="inlineStr">
        <is>
          <t>Off % (revenue)</t>
        </is>
      </c>
      <c r="C4" s="7" t="inlineStr">
        <is>
          <t>FY25 revenue (THB)</t>
        </is>
      </c>
      <c r="D4" s="7" t="inlineStr">
        <is>
          <t>Off % (units)</t>
        </is>
      </c>
      <c r="E4" s="7" t="inlineStr">
        <is>
          <t>FY25 units</t>
        </is>
      </c>
    </row>
    <row r="5">
      <c r="A5" s="4" t="inlineStr">
        <is>
          <t>Ensemble</t>
        </is>
      </c>
      <c r="B5" s="8" t="n">
        <v>0.123</v>
      </c>
      <c r="C5" s="9" t="n">
        <v>2497010000</v>
      </c>
      <c r="D5" s="8" t="n">
        <v>0.14</v>
      </c>
      <c r="E5" s="9" t="n">
        <v>170533</v>
      </c>
    </row>
    <row r="6">
      <c r="A6" s="4" t="inlineStr">
        <is>
          <t>SARIMA</t>
        </is>
      </c>
      <c r="B6" s="8" t="n">
        <v>0.127</v>
      </c>
      <c r="C6" s="9" t="n">
        <v>2382760000</v>
      </c>
      <c r="D6" s="8" t="n">
        <v>0.144</v>
      </c>
      <c r="E6" s="9" t="n">
        <v>178268</v>
      </c>
    </row>
    <row r="7">
      <c r="A7" s="4" t="inlineStr">
        <is>
          <t>XGBoost</t>
        </is>
      </c>
      <c r="B7" s="8" t="n">
        <v>0.146</v>
      </c>
      <c r="C7" s="9" t="n">
        <v>2420390000</v>
      </c>
      <c r="D7" s="8" t="n">
        <v>0.174</v>
      </c>
      <c r="E7" s="9" t="n">
        <v>171491</v>
      </c>
    </row>
    <row r="8">
      <c r="A8" s="4" t="inlineStr">
        <is>
          <t>LSTM</t>
        </is>
      </c>
      <c r="B8" s="8" t="n">
        <v>0.152</v>
      </c>
      <c r="C8" s="9" t="n">
        <v>2816020000</v>
      </c>
      <c r="D8" s="8" t="n">
        <v>0.145</v>
      </c>
      <c r="E8" s="9" t="n">
        <v>161285</v>
      </c>
    </row>
    <row r="9">
      <c r="A9" s="4" t="inlineStr">
        <is>
          <t>LightGBM</t>
        </is>
      </c>
      <c r="B9" s="8" t="n">
        <v>0.19</v>
      </c>
      <c r="C9" s="9" t="n">
        <v>2368900000</v>
      </c>
      <c r="D9" s="8" t="n">
        <v>0.218</v>
      </c>
      <c r="E9" s="9" t="n">
        <v>171085</v>
      </c>
    </row>
  </sheetData>
  <autoFilter ref="A4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FY25 forecast — revenue in baht</t>
        </is>
      </c>
    </row>
    <row r="2">
      <c r="A2" s="5" t="inlineStr">
        <is>
          <t>Apr 2025 – Mar 2026, one column per model.</t>
        </is>
      </c>
    </row>
    <row r="4">
      <c r="A4" s="7" t="inlineStr">
        <is>
          <t>Month</t>
        </is>
      </c>
      <c r="B4" s="7" t="inlineStr">
        <is>
          <t>Ensemble</t>
        </is>
      </c>
      <c r="C4" s="7" t="inlineStr">
        <is>
          <t>SARIMA</t>
        </is>
      </c>
      <c r="D4" s="7" t="inlineStr">
        <is>
          <t>XGBoost</t>
        </is>
      </c>
      <c r="E4" s="7" t="inlineStr">
        <is>
          <t>LSTM</t>
        </is>
      </c>
      <c r="F4" s="7" t="inlineStr">
        <is>
          <t>LightGBM</t>
        </is>
      </c>
    </row>
    <row r="5">
      <c r="A5" s="4" t="inlineStr">
        <is>
          <t>Apr 2025</t>
        </is>
      </c>
      <c r="B5" s="9" t="n">
        <v>184270000</v>
      </c>
      <c r="C5" s="9" t="n">
        <v>183290000</v>
      </c>
      <c r="D5" s="9" t="n">
        <v>181120000</v>
      </c>
      <c r="E5" s="9" t="n">
        <v>208490000</v>
      </c>
      <c r="F5" s="9" t="n">
        <v>164180000</v>
      </c>
    </row>
    <row r="6">
      <c r="A6" s="4" t="inlineStr">
        <is>
          <t>May 2025</t>
        </is>
      </c>
      <c r="B6" s="9" t="n">
        <v>193070000</v>
      </c>
      <c r="C6" s="9" t="n">
        <v>183290000</v>
      </c>
      <c r="D6" s="9" t="n">
        <v>192600000</v>
      </c>
      <c r="E6" s="9" t="n">
        <v>199410000</v>
      </c>
      <c r="F6" s="9" t="n">
        <v>196980000</v>
      </c>
    </row>
    <row r="7">
      <c r="A7" s="4" t="inlineStr">
        <is>
          <t>Jun 2025</t>
        </is>
      </c>
      <c r="B7" s="9" t="n">
        <v>237250000</v>
      </c>
      <c r="C7" s="9" t="n">
        <v>229110000</v>
      </c>
      <c r="D7" s="9" t="n">
        <v>233040000</v>
      </c>
      <c r="E7" s="9" t="n">
        <v>254770000</v>
      </c>
      <c r="F7" s="9" t="n">
        <v>232080000</v>
      </c>
    </row>
    <row r="8">
      <c r="A8" s="4" t="inlineStr">
        <is>
          <t>Jul 2025</t>
        </is>
      </c>
      <c r="B8" s="9" t="n">
        <v>188750000</v>
      </c>
      <c r="C8" s="9" t="n">
        <v>183290000</v>
      </c>
      <c r="D8" s="9" t="n">
        <v>184410000</v>
      </c>
      <c r="E8" s="9" t="n">
        <v>206320000</v>
      </c>
      <c r="F8" s="9" t="n">
        <v>181000000</v>
      </c>
    </row>
    <row r="9">
      <c r="A9" s="4" t="inlineStr">
        <is>
          <t>Aug 2025</t>
        </is>
      </c>
      <c r="B9" s="9" t="n">
        <v>236270000</v>
      </c>
      <c r="C9" s="9" t="n">
        <v>229110000</v>
      </c>
      <c r="D9" s="9" t="n">
        <v>225480000</v>
      </c>
      <c r="E9" s="9" t="n">
        <v>256070000</v>
      </c>
      <c r="F9" s="9" t="n">
        <v>234430000</v>
      </c>
    </row>
    <row r="10">
      <c r="A10" s="4" t="inlineStr">
        <is>
          <t>Sep 2025</t>
        </is>
      </c>
      <c r="B10" s="9" t="n">
        <v>199900000</v>
      </c>
      <c r="C10" s="9" t="n">
        <v>183290000</v>
      </c>
      <c r="D10" s="9" t="n">
        <v>216070000</v>
      </c>
      <c r="E10" s="9" t="n">
        <v>209010000</v>
      </c>
      <c r="F10" s="9" t="n">
        <v>191250000</v>
      </c>
    </row>
    <row r="11">
      <c r="A11" s="4" t="inlineStr">
        <is>
          <t>Oct 2025</t>
        </is>
      </c>
      <c r="B11" s="9" t="n">
        <v>192260000</v>
      </c>
      <c r="C11" s="9" t="n">
        <v>183290000</v>
      </c>
      <c r="D11" s="9" t="n">
        <v>189250000</v>
      </c>
      <c r="E11" s="9" t="n">
        <v>208970000</v>
      </c>
      <c r="F11" s="9" t="n">
        <v>187520000</v>
      </c>
    </row>
    <row r="12">
      <c r="A12" s="4" t="inlineStr">
        <is>
          <t>Nov 2025</t>
        </is>
      </c>
      <c r="B12" s="9" t="n">
        <v>227750000</v>
      </c>
      <c r="C12" s="9" t="n">
        <v>229110000</v>
      </c>
      <c r="D12" s="9" t="n">
        <v>224640000</v>
      </c>
      <c r="E12" s="9" t="n">
        <v>248100000</v>
      </c>
      <c r="F12" s="9" t="n">
        <v>209150000</v>
      </c>
    </row>
    <row r="13">
      <c r="A13" s="4" t="inlineStr">
        <is>
          <t>Dec 2025</t>
        </is>
      </c>
      <c r="B13" s="9" t="n">
        <v>181810000</v>
      </c>
      <c r="C13" s="9" t="n">
        <v>183290000</v>
      </c>
      <c r="D13" s="9" t="n">
        <v>179830000</v>
      </c>
      <c r="E13" s="9" t="n">
        <v>185390000</v>
      </c>
      <c r="F13" s="9" t="n">
        <v>178730000</v>
      </c>
    </row>
    <row r="14">
      <c r="A14" s="4" t="inlineStr">
        <is>
          <t>Jan 2026</t>
        </is>
      </c>
      <c r="B14" s="9" t="n">
        <v>188640000</v>
      </c>
      <c r="C14" s="9" t="n">
        <v>183290000</v>
      </c>
      <c r="D14" s="9" t="n">
        <v>158510000</v>
      </c>
      <c r="E14" s="9" t="n">
        <v>244750000</v>
      </c>
      <c r="F14" s="9" t="n">
        <v>168020000</v>
      </c>
    </row>
    <row r="15">
      <c r="A15" s="4" t="inlineStr">
        <is>
          <t>Feb 2026</t>
        </is>
      </c>
      <c r="B15" s="9" t="n">
        <v>206610000</v>
      </c>
      <c r="C15" s="9" t="n">
        <v>183290000</v>
      </c>
      <c r="D15" s="9" t="n">
        <v>190240000</v>
      </c>
      <c r="E15" s="9" t="n">
        <v>269630000</v>
      </c>
      <c r="F15" s="9" t="n">
        <v>183280000</v>
      </c>
    </row>
    <row r="16">
      <c r="A16" s="4" t="inlineStr">
        <is>
          <t>Mar 2026</t>
        </is>
      </c>
      <c r="B16" s="9" t="n">
        <v>260430000</v>
      </c>
      <c r="C16" s="9" t="n">
        <v>229110000</v>
      </c>
      <c r="D16" s="9" t="n">
        <v>245200000</v>
      </c>
      <c r="E16" s="9" t="n">
        <v>325110000</v>
      </c>
      <c r="F16" s="9" t="n">
        <v>242280000</v>
      </c>
    </row>
    <row r="17">
      <c r="A17" s="10" t="inlineStr">
        <is>
          <t>FY25 total</t>
        </is>
      </c>
      <c r="B17" s="11">
        <f>SUM(B5:B16)</f>
        <v/>
      </c>
      <c r="C17" s="11">
        <f>SUM(C5:C16)</f>
        <v/>
      </c>
      <c r="D17" s="11">
        <f>SUM(D5:D16)</f>
        <v/>
      </c>
      <c r="E17" s="11">
        <f>SUM(E5:E16)</f>
        <v/>
      </c>
      <c r="F17" s="11">
        <f>SUM(F5:F16)</f>
        <v/>
      </c>
    </row>
  </sheetData>
  <autoFilter ref="A4:F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6" t="inlineStr">
        <is>
          <t>FY25 forecast — units shipped</t>
        </is>
      </c>
    </row>
    <row r="2">
      <c r="A2" s="5" t="inlineStr">
        <is>
          <t>Apr 2025 – Mar 2026, one column per model.</t>
        </is>
      </c>
    </row>
    <row r="4">
      <c r="A4" s="7" t="inlineStr">
        <is>
          <t>Month</t>
        </is>
      </c>
      <c r="B4" s="7" t="inlineStr">
        <is>
          <t>Ensemble</t>
        </is>
      </c>
      <c r="C4" s="7" t="inlineStr">
        <is>
          <t>SARIMA</t>
        </is>
      </c>
      <c r="D4" s="7" t="inlineStr">
        <is>
          <t>XGBoost</t>
        </is>
      </c>
      <c r="E4" s="7" t="inlineStr">
        <is>
          <t>LSTM</t>
        </is>
      </c>
      <c r="F4" s="7" t="inlineStr">
        <is>
          <t>LightGBM</t>
        </is>
      </c>
    </row>
    <row r="5">
      <c r="A5" s="4" t="inlineStr">
        <is>
          <t>Apr 2025</t>
        </is>
      </c>
      <c r="B5" s="9" t="n">
        <v>12989</v>
      </c>
      <c r="C5" s="9" t="n">
        <v>13713</v>
      </c>
      <c r="D5" s="9" t="n">
        <v>12711</v>
      </c>
      <c r="E5" s="9" t="n">
        <v>12932</v>
      </c>
      <c r="F5" s="9" t="n">
        <v>12597</v>
      </c>
    </row>
    <row r="6">
      <c r="A6" s="4" t="inlineStr">
        <is>
          <t>May 2025</t>
        </is>
      </c>
      <c r="B6" s="9" t="n">
        <v>13145</v>
      </c>
      <c r="C6" s="9" t="n">
        <v>13713</v>
      </c>
      <c r="D6" s="9" t="n">
        <v>12901</v>
      </c>
      <c r="E6" s="9" t="n">
        <v>12782</v>
      </c>
      <c r="F6" s="9" t="n">
        <v>13183</v>
      </c>
    </row>
    <row r="7">
      <c r="A7" s="4" t="inlineStr">
        <is>
          <t>Jun 2025</t>
        </is>
      </c>
      <c r="B7" s="9" t="n">
        <v>16728</v>
      </c>
      <c r="C7" s="9" t="n">
        <v>17141</v>
      </c>
      <c r="D7" s="9" t="n">
        <v>17341</v>
      </c>
      <c r="E7" s="9" t="n">
        <v>16026</v>
      </c>
      <c r="F7" s="9" t="n">
        <v>16404</v>
      </c>
    </row>
    <row r="8">
      <c r="A8" s="4" t="inlineStr">
        <is>
          <t>Jul 2025</t>
        </is>
      </c>
      <c r="B8" s="9" t="n">
        <v>13008</v>
      </c>
      <c r="C8" s="9" t="n">
        <v>13713</v>
      </c>
      <c r="D8" s="9" t="n">
        <v>13421</v>
      </c>
      <c r="E8" s="9" t="n">
        <v>12868</v>
      </c>
      <c r="F8" s="9" t="n">
        <v>12031</v>
      </c>
    </row>
    <row r="9">
      <c r="A9" s="4" t="inlineStr">
        <is>
          <t>Aug 2025</t>
        </is>
      </c>
      <c r="B9" s="9" t="n">
        <v>16664</v>
      </c>
      <c r="C9" s="9" t="n">
        <v>17141</v>
      </c>
      <c r="D9" s="9" t="n">
        <v>16388</v>
      </c>
      <c r="E9" s="9" t="n">
        <v>15868</v>
      </c>
      <c r="F9" s="9" t="n">
        <v>17258</v>
      </c>
    </row>
    <row r="10">
      <c r="A10" s="4" t="inlineStr">
        <is>
          <t>Sep 2025</t>
        </is>
      </c>
      <c r="B10" s="9" t="n">
        <v>13822</v>
      </c>
      <c r="C10" s="9" t="n">
        <v>13713</v>
      </c>
      <c r="D10" s="9" t="n">
        <v>15730</v>
      </c>
      <c r="E10" s="9" t="n">
        <v>12282</v>
      </c>
      <c r="F10" s="9" t="n">
        <v>13565</v>
      </c>
    </row>
    <row r="11">
      <c r="A11" s="4" t="inlineStr">
        <is>
          <t>Oct 2025</t>
        </is>
      </c>
      <c r="B11" s="9" t="n">
        <v>12932</v>
      </c>
      <c r="C11" s="9" t="n">
        <v>13713</v>
      </c>
      <c r="D11" s="9" t="n">
        <v>12981</v>
      </c>
      <c r="E11" s="9" t="n">
        <v>11915</v>
      </c>
      <c r="F11" s="9" t="n">
        <v>13121</v>
      </c>
    </row>
    <row r="12">
      <c r="A12" s="4" t="inlineStr">
        <is>
          <t>Nov 2025</t>
        </is>
      </c>
      <c r="B12" s="9" t="n">
        <v>16338</v>
      </c>
      <c r="C12" s="9" t="n">
        <v>17141</v>
      </c>
      <c r="D12" s="9" t="n">
        <v>16477</v>
      </c>
      <c r="E12" s="9" t="n">
        <v>14650</v>
      </c>
      <c r="F12" s="9" t="n">
        <v>17083</v>
      </c>
    </row>
    <row r="13">
      <c r="A13" s="4" t="inlineStr">
        <is>
          <t>Dec 2025</t>
        </is>
      </c>
      <c r="B13" s="9" t="n">
        <v>12186</v>
      </c>
      <c r="C13" s="9" t="n">
        <v>13713</v>
      </c>
      <c r="D13" s="9" t="n">
        <v>11323</v>
      </c>
      <c r="E13" s="9" t="n">
        <v>11793</v>
      </c>
      <c r="F13" s="9" t="n">
        <v>11913</v>
      </c>
    </row>
    <row r="14">
      <c r="A14" s="4" t="inlineStr">
        <is>
          <t>Jan 2026</t>
        </is>
      </c>
      <c r="B14" s="9" t="n">
        <v>12761</v>
      </c>
      <c r="C14" s="9" t="n">
        <v>13713</v>
      </c>
      <c r="D14" s="9" t="n">
        <v>12140</v>
      </c>
      <c r="E14" s="9" t="n">
        <v>12060</v>
      </c>
      <c r="F14" s="9" t="n">
        <v>13133</v>
      </c>
    </row>
    <row r="15">
      <c r="A15" s="4" t="inlineStr">
        <is>
          <t>Feb 2026</t>
        </is>
      </c>
      <c r="B15" s="9" t="n">
        <v>13091</v>
      </c>
      <c r="C15" s="9" t="n">
        <v>13713</v>
      </c>
      <c r="D15" s="9" t="n">
        <v>12567</v>
      </c>
      <c r="E15" s="9" t="n">
        <v>12362</v>
      </c>
      <c r="F15" s="9" t="n">
        <v>13720</v>
      </c>
    </row>
    <row r="16">
      <c r="A16" s="4" t="inlineStr">
        <is>
          <t>Mar 2026</t>
        </is>
      </c>
      <c r="B16" s="9" t="n">
        <v>16869</v>
      </c>
      <c r="C16" s="9" t="n">
        <v>17141</v>
      </c>
      <c r="D16" s="9" t="n">
        <v>17511</v>
      </c>
      <c r="E16" s="9" t="n">
        <v>15747</v>
      </c>
      <c r="F16" s="9" t="n">
        <v>17077</v>
      </c>
    </row>
    <row r="17">
      <c r="A17" s="10" t="inlineStr">
        <is>
          <t>FY25 total</t>
        </is>
      </c>
      <c r="B17" s="11">
        <f>SUM(B5:B16)</f>
        <v/>
      </c>
      <c r="C17" s="11">
        <f>SUM(C5:C16)</f>
        <v/>
      </c>
      <c r="D17" s="11">
        <f>SUM(D5:D16)</f>
        <v/>
      </c>
      <c r="E17" s="11">
        <f>SUM(E5:E16)</f>
        <v/>
      </c>
      <c r="F17" s="11">
        <f>SUM(F5:F16)</f>
        <v/>
      </c>
    </row>
  </sheetData>
  <autoFilter ref="A4:F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Backtest Revenue — the held-out year</t>
        </is>
      </c>
    </row>
    <row r="2">
      <c r="A2" s="5" t="inlineStr">
        <is>
          <t>Trained on Apr 2021 – Mar 2024 only, then asked to predict this year.</t>
        </is>
      </c>
    </row>
    <row r="4">
      <c r="A4" s="7" t="inlineStr">
        <is>
          <t>Month</t>
        </is>
      </c>
      <c r="B4" s="7" t="inlineStr">
        <is>
          <t>Actual</t>
        </is>
      </c>
      <c r="C4" s="7" t="inlineStr">
        <is>
          <t>Ensemble</t>
        </is>
      </c>
      <c r="D4" s="7" t="inlineStr">
        <is>
          <t>SARIMA</t>
        </is>
      </c>
      <c r="E4" s="7" t="inlineStr">
        <is>
          <t>XGBoost</t>
        </is>
      </c>
      <c r="F4" s="7" t="inlineStr">
        <is>
          <t>LSTM</t>
        </is>
      </c>
      <c r="G4" s="7" t="inlineStr">
        <is>
          <t>LightGBM</t>
        </is>
      </c>
    </row>
    <row r="5">
      <c r="A5" s="4" t="inlineStr">
        <is>
          <t>Apr 2024</t>
        </is>
      </c>
      <c r="B5" s="9" t="n">
        <v>161910000</v>
      </c>
      <c r="C5" s="9" t="n">
        <v>152460000</v>
      </c>
      <c r="D5" s="9" t="n">
        <v>177530000</v>
      </c>
      <c r="E5" s="9" t="n">
        <v>127660000</v>
      </c>
      <c r="F5" s="9" t="n">
        <v>192790000</v>
      </c>
      <c r="G5" s="9" t="n">
        <v>111850000</v>
      </c>
    </row>
    <row r="6">
      <c r="A6" s="4" t="inlineStr">
        <is>
          <t>May 2024</t>
        </is>
      </c>
      <c r="B6" s="9" t="n">
        <v>204640000</v>
      </c>
      <c r="C6" s="9" t="n">
        <v>176580000</v>
      </c>
      <c r="D6" s="9" t="n">
        <v>177530000</v>
      </c>
      <c r="E6" s="9" t="n">
        <v>164320000</v>
      </c>
      <c r="F6" s="9" t="n">
        <v>195230000</v>
      </c>
      <c r="G6" s="9" t="n">
        <v>169250000</v>
      </c>
    </row>
    <row r="7">
      <c r="A7" s="4" t="inlineStr">
        <is>
          <t>Jun 2024</t>
        </is>
      </c>
      <c r="B7" s="9" t="n">
        <v>240450000</v>
      </c>
      <c r="C7" s="9" t="n">
        <v>230860000</v>
      </c>
      <c r="D7" s="9" t="n">
        <v>221920000</v>
      </c>
      <c r="E7" s="9" t="n">
        <v>244400000</v>
      </c>
      <c r="F7" s="9" t="n">
        <v>246970000</v>
      </c>
      <c r="G7" s="9" t="n">
        <v>210150000</v>
      </c>
    </row>
    <row r="8">
      <c r="A8" s="4" t="inlineStr">
        <is>
          <t>Jul 2024</t>
        </is>
      </c>
      <c r="B8" s="9" t="n">
        <v>167530000</v>
      </c>
      <c r="C8" s="9" t="n">
        <v>176630000</v>
      </c>
      <c r="D8" s="9" t="n">
        <v>177530000</v>
      </c>
      <c r="E8" s="9" t="n">
        <v>155550000</v>
      </c>
      <c r="F8" s="9" t="n">
        <v>199770000</v>
      </c>
      <c r="G8" s="9" t="n">
        <v>173650000</v>
      </c>
    </row>
    <row r="9">
      <c r="A9" s="4" t="inlineStr">
        <is>
          <t>Aug 2024</t>
        </is>
      </c>
      <c r="B9" s="9" t="n">
        <v>204700000</v>
      </c>
      <c r="C9" s="9" t="n">
        <v>167430000</v>
      </c>
      <c r="D9" s="9" t="n">
        <v>177530000</v>
      </c>
      <c r="E9" s="9" t="n">
        <v>162150000</v>
      </c>
      <c r="F9" s="9" t="n">
        <v>198100000</v>
      </c>
      <c r="G9" s="9" t="n">
        <v>131910000</v>
      </c>
    </row>
    <row r="10">
      <c r="A10" s="4" t="inlineStr">
        <is>
          <t>Sep 2024</t>
        </is>
      </c>
      <c r="B10" s="9" t="n">
        <v>242620000</v>
      </c>
      <c r="C10" s="9" t="n">
        <v>230870000</v>
      </c>
      <c r="D10" s="9" t="n">
        <v>221920000</v>
      </c>
      <c r="E10" s="9" t="n">
        <v>229140000</v>
      </c>
      <c r="F10" s="9" t="n">
        <v>241240000</v>
      </c>
      <c r="G10" s="9" t="n">
        <v>231180000</v>
      </c>
    </row>
    <row r="11">
      <c r="A11" s="4" t="inlineStr">
        <is>
          <t>Oct 2024</t>
        </is>
      </c>
      <c r="B11" s="9" t="n">
        <v>300380000</v>
      </c>
      <c r="C11" s="9" t="n">
        <v>167100000</v>
      </c>
      <c r="D11" s="9" t="n">
        <v>177530000</v>
      </c>
      <c r="E11" s="9" t="n">
        <v>153830000</v>
      </c>
      <c r="F11" s="9" t="n">
        <v>186810000</v>
      </c>
      <c r="G11" s="9" t="n">
        <v>150210000</v>
      </c>
    </row>
    <row r="12">
      <c r="A12" s="4" t="inlineStr">
        <is>
          <t>Nov 2024</t>
        </is>
      </c>
      <c r="B12" s="9" t="n">
        <v>179460000</v>
      </c>
      <c r="C12" s="9" t="n">
        <v>165040000</v>
      </c>
      <c r="D12" s="9" t="n">
        <v>177530000</v>
      </c>
      <c r="E12" s="9" t="n">
        <v>156890000</v>
      </c>
      <c r="F12" s="9" t="n">
        <v>182770000</v>
      </c>
      <c r="G12" s="9" t="n">
        <v>142990000</v>
      </c>
    </row>
    <row r="13">
      <c r="A13" s="4" t="inlineStr">
        <is>
          <t>Dec 2024</t>
        </is>
      </c>
      <c r="B13" s="9" t="n">
        <v>175050000</v>
      </c>
      <c r="C13" s="9" t="n">
        <v>220780000</v>
      </c>
      <c r="D13" s="9" t="n">
        <v>221920000</v>
      </c>
      <c r="E13" s="9" t="n">
        <v>206440000</v>
      </c>
      <c r="F13" s="9" t="n">
        <v>232150000</v>
      </c>
      <c r="G13" s="9" t="n">
        <v>222620000</v>
      </c>
    </row>
    <row r="14">
      <c r="A14" s="4" t="inlineStr">
        <is>
          <t>Jan 2025</t>
        </is>
      </c>
      <c r="B14" s="9" t="n">
        <v>153700000</v>
      </c>
      <c r="C14" s="9" t="n">
        <v>169830000</v>
      </c>
      <c r="D14" s="9" t="n">
        <v>177530000</v>
      </c>
      <c r="E14" s="9" t="n">
        <v>170940000</v>
      </c>
      <c r="F14" s="9" t="n">
        <v>198650000</v>
      </c>
      <c r="G14" s="9" t="n">
        <v>132190000</v>
      </c>
    </row>
    <row r="15">
      <c r="A15" s="4" t="inlineStr">
        <is>
          <t>Feb 2025</t>
        </is>
      </c>
      <c r="B15" s="9" t="n">
        <v>178940000</v>
      </c>
      <c r="C15" s="9" t="n">
        <v>188880000</v>
      </c>
      <c r="D15" s="9" t="n">
        <v>177530000</v>
      </c>
      <c r="E15" s="9" t="n">
        <v>172710000</v>
      </c>
      <c r="F15" s="9" t="n">
        <v>212700000</v>
      </c>
      <c r="G15" s="9" t="n">
        <v>192570000</v>
      </c>
    </row>
    <row r="16">
      <c r="A16" s="4" t="inlineStr">
        <is>
          <t>Mar 2025</t>
        </is>
      </c>
      <c r="B16" s="9" t="n">
        <v>244230000</v>
      </c>
      <c r="C16" s="9" t="n">
        <v>240980000</v>
      </c>
      <c r="D16" s="9" t="n">
        <v>221920000</v>
      </c>
      <c r="E16" s="9" t="n">
        <v>232800000</v>
      </c>
      <c r="F16" s="9" t="n">
        <v>274740000</v>
      </c>
      <c r="G16" s="9" t="n">
        <v>234460000</v>
      </c>
    </row>
  </sheetData>
  <autoFilter ref="A4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Backtest Units — the held-out year</t>
        </is>
      </c>
    </row>
    <row r="2">
      <c r="A2" s="5" t="inlineStr">
        <is>
          <t>Trained on Apr 2021 – Mar 2024 only, then asked to predict this year.</t>
        </is>
      </c>
    </row>
    <row r="4">
      <c r="A4" s="7" t="inlineStr">
        <is>
          <t>Month</t>
        </is>
      </c>
      <c r="B4" s="7" t="inlineStr">
        <is>
          <t>Actual</t>
        </is>
      </c>
      <c r="C4" s="7" t="inlineStr">
        <is>
          <t>Ensemble</t>
        </is>
      </c>
      <c r="D4" s="7" t="inlineStr">
        <is>
          <t>SARIMA</t>
        </is>
      </c>
      <c r="E4" s="7" t="inlineStr">
        <is>
          <t>XGBoost</t>
        </is>
      </c>
      <c r="F4" s="7" t="inlineStr">
        <is>
          <t>LSTM</t>
        </is>
      </c>
      <c r="G4" s="7" t="inlineStr">
        <is>
          <t>LightGBM</t>
        </is>
      </c>
    </row>
    <row r="5">
      <c r="A5" s="4" t="inlineStr">
        <is>
          <t>Apr 2024</t>
        </is>
      </c>
      <c r="B5" s="9" t="n">
        <v>10183</v>
      </c>
      <c r="C5" s="9" t="n">
        <v>10354</v>
      </c>
      <c r="D5" s="9" t="n">
        <v>13128</v>
      </c>
      <c r="E5" s="9" t="n">
        <v>7919</v>
      </c>
      <c r="F5" s="9" t="n">
        <v>12967</v>
      </c>
      <c r="G5" s="9" t="n">
        <v>7401</v>
      </c>
    </row>
    <row r="6">
      <c r="A6" s="4" t="inlineStr">
        <is>
          <t>May 2024</t>
        </is>
      </c>
      <c r="B6" s="9" t="n">
        <v>13411</v>
      </c>
      <c r="C6" s="9" t="n">
        <v>12209</v>
      </c>
      <c r="D6" s="9" t="n">
        <v>13128</v>
      </c>
      <c r="E6" s="9" t="n">
        <v>12597</v>
      </c>
      <c r="F6" s="9" t="n">
        <v>12639</v>
      </c>
      <c r="G6" s="9" t="n">
        <v>10474</v>
      </c>
    </row>
    <row r="7">
      <c r="A7" s="4" t="inlineStr">
        <is>
          <t>Jun 2024</t>
        </is>
      </c>
      <c r="B7" s="9" t="n">
        <v>16329</v>
      </c>
      <c r="C7" s="9" t="n">
        <v>15455</v>
      </c>
      <c r="D7" s="9" t="n">
        <v>16409</v>
      </c>
      <c r="E7" s="9" t="n">
        <v>14830</v>
      </c>
      <c r="F7" s="9" t="n">
        <v>16097</v>
      </c>
      <c r="G7" s="9" t="n">
        <v>14485</v>
      </c>
    </row>
    <row r="8">
      <c r="A8" s="4" t="inlineStr">
        <is>
          <t>Jul 2024</t>
        </is>
      </c>
      <c r="B8" s="9" t="n">
        <v>12117</v>
      </c>
      <c r="C8" s="9" t="n">
        <v>12384</v>
      </c>
      <c r="D8" s="9" t="n">
        <v>13128</v>
      </c>
      <c r="E8" s="9" t="n">
        <v>11487</v>
      </c>
      <c r="F8" s="9" t="n">
        <v>12722</v>
      </c>
      <c r="G8" s="9" t="n">
        <v>12200</v>
      </c>
    </row>
    <row r="9">
      <c r="A9" s="4" t="inlineStr">
        <is>
          <t>Aug 2024</t>
        </is>
      </c>
      <c r="B9" s="9" t="n">
        <v>19566</v>
      </c>
      <c r="C9" s="9" t="n">
        <v>11388</v>
      </c>
      <c r="D9" s="9" t="n">
        <v>13128</v>
      </c>
      <c r="E9" s="9" t="n">
        <v>10904</v>
      </c>
      <c r="F9" s="9" t="n">
        <v>12456</v>
      </c>
      <c r="G9" s="9" t="n">
        <v>9064</v>
      </c>
    </row>
    <row r="10">
      <c r="A10" s="4" t="inlineStr">
        <is>
          <t>Sep 2024</t>
        </is>
      </c>
      <c r="B10" s="9" t="n">
        <v>16366</v>
      </c>
      <c r="C10" s="9" t="n">
        <v>16415</v>
      </c>
      <c r="D10" s="9" t="n">
        <v>16409</v>
      </c>
      <c r="E10" s="9" t="n">
        <v>16899</v>
      </c>
      <c r="F10" s="9" t="n">
        <v>15092</v>
      </c>
      <c r="G10" s="9" t="n">
        <v>17257</v>
      </c>
    </row>
    <row r="11">
      <c r="A11" s="4" t="inlineStr">
        <is>
          <t>Oct 2024</t>
        </is>
      </c>
      <c r="B11" s="9" t="n">
        <v>20310</v>
      </c>
      <c r="C11" s="9" t="n">
        <v>11183</v>
      </c>
      <c r="D11" s="9" t="n">
        <v>13128</v>
      </c>
      <c r="E11" s="9" t="n">
        <v>10482</v>
      </c>
      <c r="F11" s="9" t="n">
        <v>11780</v>
      </c>
      <c r="G11" s="9" t="n">
        <v>9344</v>
      </c>
    </row>
    <row r="12">
      <c r="A12" s="4" t="inlineStr">
        <is>
          <t>Nov 2024</t>
        </is>
      </c>
      <c r="B12" s="9" t="n">
        <v>17714</v>
      </c>
      <c r="C12" s="9" t="n">
        <v>11266</v>
      </c>
      <c r="D12" s="9" t="n">
        <v>13128</v>
      </c>
      <c r="E12" s="9" t="n">
        <v>10956</v>
      </c>
      <c r="F12" s="9" t="n">
        <v>11692</v>
      </c>
      <c r="G12" s="9" t="n">
        <v>9289</v>
      </c>
    </row>
    <row r="13">
      <c r="A13" s="4" t="inlineStr">
        <is>
          <t>Dec 2024</t>
        </is>
      </c>
      <c r="B13" s="9" t="n">
        <v>13972</v>
      </c>
      <c r="C13" s="9" t="n">
        <v>14956</v>
      </c>
      <c r="D13" s="9" t="n">
        <v>16409</v>
      </c>
      <c r="E13" s="9" t="n">
        <v>13689</v>
      </c>
      <c r="F13" s="9" t="n">
        <v>14747</v>
      </c>
      <c r="G13" s="9" t="n">
        <v>14978</v>
      </c>
    </row>
    <row r="14">
      <c r="A14" s="4" t="inlineStr">
        <is>
          <t>Jan 2025</t>
        </is>
      </c>
      <c r="B14" s="9" t="n">
        <v>12251</v>
      </c>
      <c r="C14" s="9" t="n">
        <v>11456</v>
      </c>
      <c r="D14" s="9" t="n">
        <v>13128</v>
      </c>
      <c r="E14" s="9" t="n">
        <v>10845</v>
      </c>
      <c r="F14" s="9" t="n">
        <v>12108</v>
      </c>
      <c r="G14" s="9" t="n">
        <v>9742</v>
      </c>
    </row>
    <row r="15">
      <c r="A15" s="4" t="inlineStr">
        <is>
          <t>Feb 2025</t>
        </is>
      </c>
      <c r="B15" s="9" t="n">
        <v>12311</v>
      </c>
      <c r="C15" s="9" t="n">
        <v>13234</v>
      </c>
      <c r="D15" s="9" t="n">
        <v>13128</v>
      </c>
      <c r="E15" s="9" t="n">
        <v>13629</v>
      </c>
      <c r="F15" s="9" t="n">
        <v>12651</v>
      </c>
      <c r="G15" s="9" t="n">
        <v>13527</v>
      </c>
    </row>
    <row r="16">
      <c r="A16" s="4" t="inlineStr">
        <is>
          <t>Mar 2025</t>
        </is>
      </c>
      <c r="B16" s="9" t="n">
        <v>17785</v>
      </c>
      <c r="C16" s="9" t="n">
        <v>16752</v>
      </c>
      <c r="D16" s="9" t="n">
        <v>16409</v>
      </c>
      <c r="E16" s="9" t="n">
        <v>16450</v>
      </c>
      <c r="F16" s="9" t="n">
        <v>16817</v>
      </c>
      <c r="G16" s="9" t="n">
        <v>17330</v>
      </c>
    </row>
  </sheetData>
  <autoFilter ref="A4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2026-10-07T07:02:14Z</dcterms:created>
  <dcterms:modified xsi:type="dcterms:W3CDTF">2026-10-07T07:02:14Z</dcterms:modified>
</cp:coreProperties>
</file>